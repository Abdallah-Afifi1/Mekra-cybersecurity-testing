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einers\Desktop\"/>
    </mc:Choice>
  </mc:AlternateContent>
  <xr:revisionPtr revIDLastSave="0" documentId="13_ncr:1_{23BFB6AE-918F-49A6-9986-FFF205AB2CA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0-Build" sheetId="1" r:id="rId1"/>
    <sheet name="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/>
  <c r="A10" i="1"/>
  <c r="A11" i="1"/>
  <c r="A12" i="1"/>
  <c r="A13" i="1"/>
  <c r="L8" i="1"/>
  <c r="O8" i="1" s="1"/>
  <c r="Q8" i="1" s="1"/>
  <c r="L9" i="1"/>
  <c r="O9" i="1" s="1"/>
  <c r="Q9" i="1" s="1"/>
  <c r="L10" i="1"/>
  <c r="O10" i="1" s="1"/>
  <c r="Q10" i="1" s="1"/>
  <c r="L11" i="1"/>
  <c r="O11" i="1" s="1"/>
  <c r="Q11" i="1" s="1"/>
  <c r="L12" i="1"/>
  <c r="O12" i="1" s="1"/>
  <c r="Q12" i="1" s="1"/>
  <c r="L13" i="1"/>
  <c r="O13" i="1" s="1"/>
  <c r="Q13" i="1" s="1"/>
  <c r="M8" i="1"/>
  <c r="M9" i="1"/>
  <c r="U9" i="1" s="1"/>
  <c r="W9" i="1" s="1"/>
  <c r="M10" i="1"/>
  <c r="R10" i="1" s="1"/>
  <c r="T10" i="1" s="1"/>
  <c r="M11" i="1"/>
  <c r="R11" i="1" s="1"/>
  <c r="T11" i="1" s="1"/>
  <c r="M12" i="1"/>
  <c r="R12" i="1" s="1"/>
  <c r="T12" i="1" s="1"/>
  <c r="M13" i="1"/>
  <c r="R8" i="1"/>
  <c r="T8" i="1" s="1"/>
  <c r="R13" i="1"/>
  <c r="T13" i="1" s="1"/>
  <c r="U8" i="1"/>
  <c r="W8" i="1" s="1"/>
  <c r="U12" i="1"/>
  <c r="W12" i="1" s="1"/>
  <c r="U13" i="1"/>
  <c r="W13" i="1" s="1"/>
  <c r="U11" i="1" l="1"/>
  <c r="W11" i="1" s="1"/>
  <c r="R9" i="1"/>
  <c r="T9" i="1" s="1"/>
  <c r="U10" i="1"/>
  <c r="W10" i="1" s="1"/>
  <c r="M2" i="1" l="1"/>
  <c r="R2" i="1" s="1"/>
  <c r="T2" i="1" s="1"/>
  <c r="M3" i="1"/>
  <c r="R3" i="1" s="1"/>
  <c r="T3" i="1" s="1"/>
  <c r="M4" i="1"/>
  <c r="R4" i="1" s="1"/>
  <c r="T4" i="1" s="1"/>
  <c r="M5" i="1"/>
  <c r="R5" i="1" s="1"/>
  <c r="T5" i="1" s="1"/>
  <c r="M6" i="1"/>
  <c r="R6" i="1" s="1"/>
  <c r="T6" i="1" s="1"/>
  <c r="M7" i="1"/>
  <c r="R7" i="1" s="1"/>
  <c r="T7" i="1" s="1"/>
  <c r="A2" i="1"/>
  <c r="A3" i="1"/>
  <c r="A4" i="1"/>
  <c r="A5" i="1"/>
  <c r="A6" i="1"/>
  <c r="A7" i="1"/>
  <c r="L7" i="1"/>
  <c r="O7" i="1" s="1"/>
  <c r="L6" i="1"/>
  <c r="O6" i="1" s="1"/>
  <c r="L5" i="1"/>
  <c r="O5" i="1" s="1"/>
  <c r="L4" i="1"/>
  <c r="O4" i="1" s="1"/>
  <c r="L3" i="1"/>
  <c r="O3" i="1" s="1"/>
  <c r="L2" i="1"/>
  <c r="O2" i="1" s="1"/>
  <c r="U7" i="1" l="1"/>
  <c r="W7" i="1" s="1"/>
  <c r="U6" i="1"/>
  <c r="W6" i="1" s="1"/>
  <c r="U5" i="1"/>
  <c r="W5" i="1" s="1"/>
  <c r="U4" i="1"/>
  <c r="W4" i="1" s="1"/>
  <c r="U3" i="1"/>
  <c r="W3" i="1" s="1"/>
  <c r="U2" i="1"/>
  <c r="W2" i="1" s="1"/>
  <c r="Q4" i="1"/>
  <c r="Q7" i="1"/>
  <c r="Q6" i="1"/>
  <c r="Q5" i="1"/>
  <c r="Q2" i="1"/>
  <c r="Q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Völler, Jonas</author>
  </authors>
  <commentList>
    <comment ref="S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Völler, Jonas:</t>
        </r>
        <r>
          <rPr>
            <sz val="9"/>
            <color indexed="81"/>
            <rFont val="Segoe UI"/>
            <family val="2"/>
          </rPr>
          <t xml:space="preserve">
Configurationstring als ASCII aus Wireshark kopieren</t>
        </r>
      </text>
    </comment>
    <comment ref="V1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Völler, Jonas:</t>
        </r>
        <r>
          <rPr>
            <sz val="9"/>
            <color indexed="81"/>
            <rFont val="Segoe UI"/>
            <family val="2"/>
          </rPr>
          <t xml:space="preserve">
Payload als Wert kopieren</t>
        </r>
      </text>
    </comment>
  </commentList>
</comments>
</file>

<file path=xl/sharedStrings.xml><?xml version="1.0" encoding="utf-8"?>
<sst xmlns="http://schemas.openxmlformats.org/spreadsheetml/2006/main" count="104" uniqueCount="39">
  <si>
    <t>B01</t>
  </si>
  <si>
    <t>MEKRA-Nr.:</t>
  </si>
  <si>
    <t>Lfd.:</t>
  </si>
  <si>
    <t>Bezeichung:</t>
  </si>
  <si>
    <t>Volvo Nr.:</t>
  </si>
  <si>
    <t>Volvo Index / Rev.:</t>
  </si>
  <si>
    <t>PAR:</t>
  </si>
  <si>
    <t>MAC.Adresse:</t>
  </si>
  <si>
    <t>DMC identisch:</t>
  </si>
  <si>
    <t>SNr.:</t>
  </si>
  <si>
    <t>Datum:</t>
  </si>
  <si>
    <t>Configuration String aus SOME/IP-SD SOLL:</t>
  </si>
  <si>
    <t>Configuration String aus SOME/IP-SD IST:</t>
  </si>
  <si>
    <t>Devicetype:</t>
  </si>
  <si>
    <t>MAC 2:</t>
  </si>
  <si>
    <t>Configuration String identisch:</t>
  </si>
  <si>
    <t>Payload getCamIdentifikation (Wireshark) IST:</t>
  </si>
  <si>
    <t>Payload getCamIdentifikation (Wireshark) SOLL:</t>
  </si>
  <si>
    <t>subscribe Video stream 1</t>
  </si>
  <si>
    <t>subscribe Video stream 2</t>
  </si>
  <si>
    <t>snpn:</t>
  </si>
  <si>
    <t>OK</t>
  </si>
  <si>
    <t>NOK</t>
  </si>
  <si>
    <t>Powerconsumption (0,16A ±0,08A) in [A]
@28,0V @ RT</t>
  </si>
  <si>
    <t>Payload getCamIdentifikation identisch:</t>
  </si>
  <si>
    <t>Index Kamera:</t>
  </si>
  <si>
    <t>Volvo Nummer Kamera:</t>
  </si>
  <si>
    <t>DMC Kamera SOLL:</t>
  </si>
  <si>
    <t>DMC Kamera IST:</t>
  </si>
  <si>
    <t>Shutterfunktion 
wenn vorhanden:</t>
  </si>
  <si>
    <t>N/A</t>
  </si>
  <si>
    <t>RLC Standard Kamera 1315 Tractor Side General RENAULT</t>
  </si>
  <si>
    <t>PAR11C0</t>
  </si>
  <si>
    <t>rcam_2</t>
  </si>
  <si>
    <t>RLC Standard Kamera 1315 Rigid TRP-RUP RENAULT</t>
  </si>
  <si>
    <t>281315014001</t>
  </si>
  <si>
    <t>RLC Standard Kamera 1315 Rigid Side Mount RENAULT</t>
  </si>
  <si>
    <t>281315015001</t>
  </si>
  <si>
    <t>'281315012001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</si>
</sst>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4" fontId="4" fillId="0" borderId="0" xfId="0" applyNumberFormat="1" applyFont="1" applyAlignment="1">
      <alignment vertical="center"/>
    </xf>
    <xf numFmtId="164" fontId="3" fillId="0" borderId="0" xfId="0" applyNumberFormat="1" applyFont="1"/>
    <xf numFmtId="0" fontId="5" fillId="0" borderId="0" xfId="0" applyFont="1" applyAlignment="1">
      <alignment vertical="center"/>
    </xf>
  </cellXfs>
  <cellStyles count="1">
    <cellStyle name="Standard" xfId="0" builtinId="0"/>
  </cellStyles>
  <dxfs count="3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AA13" totalsRowShown="0" headerRowDxfId="35" dataDxfId="34">
  <autoFilter ref="A1:AA13" xr:uid="{00000000-0009-0000-0100-000001000000}"/>
  <tableColumns count="27">
    <tableColumn id="1" xr3:uid="{00000000-0010-0000-0000-000001000000}" name="Lfd.:" dataDxfId="33">
      <calculatedColumnFormula>ROW()-1</calculatedColumnFormula>
    </tableColumn>
    <tableColumn id="2" xr3:uid="{00000000-0010-0000-0000-000002000000}" name="MEKRA-Nr.:" dataDxfId="32"/>
    <tableColumn id="3" xr3:uid="{00000000-0010-0000-0000-000003000000}" name="Bezeichung:" dataDxfId="31"/>
    <tableColumn id="15" xr3:uid="{00000000-0010-0000-0000-00000F000000}" name="Devicetype:" dataDxfId="30"/>
    <tableColumn id="4" xr3:uid="{00000000-0010-0000-0000-000004000000}" name="Volvo Nr.:" dataDxfId="29"/>
    <tableColumn id="26" xr3:uid="{00000000-0010-0000-0000-00001A000000}" name="Volvo Nummer Kamera:"/>
    <tableColumn id="5" xr3:uid="{00000000-0010-0000-0000-000005000000}" name="Volvo Index / Rev.:" dataDxfId="28"/>
    <tableColumn id="25" xr3:uid="{00000000-0010-0000-0000-000019000000}" name="Index Kamera:"/>
    <tableColumn id="21" xr3:uid="{00000000-0010-0000-0000-000015000000}" name="snpn:" dataDxfId="27"/>
    <tableColumn id="6" xr3:uid="{00000000-0010-0000-0000-000006000000}" name="PAR:" dataDxfId="26"/>
    <tableColumn id="7" xr3:uid="{00000000-0010-0000-0000-000007000000}" name="SNr.:" dataDxfId="25"/>
    <tableColumn id="8" xr3:uid="{00000000-0010-0000-0000-000008000000}" name="MAC.Adresse:" dataDxfId="24">
      <calculatedColumnFormula>"98D3D2-00"&amp;DEC2HEX(K2)</calculatedColumnFormula>
    </tableColumn>
    <tableColumn id="16" xr3:uid="{00000000-0010-0000-0000-000010000000}" name="MAC 2:" dataDxfId="23">
      <calculatedColumnFormula>"98D3D200"&amp;DEC2HEX(K2)</calculatedColumnFormula>
    </tableColumn>
    <tableColumn id="12" xr3:uid="{00000000-0010-0000-0000-00000C000000}" name="Datum:" dataDxfId="22"/>
    <tableColumn id="9" xr3:uid="{00000000-0010-0000-0000-000009000000}" name="DMC Kamera SOLL:" dataDxfId="21">
      <calculatedColumnFormula>Tabelle1[[#This Row],[Volvo Nummer Kamera:]]&amp;"&amp;"&amp;Tabelle1[[#This Row],[Datum:]]&amp;"&amp;"&amp;Tabelle1[[#This Row],[SNr.:]]&amp;"&amp;"&amp;Tabelle1[[#This Row],[MAC.Adresse:]]&amp;"&amp;"&amp;Tabelle1[[#This Row],[Index Kamera:]]</calculatedColumnFormula>
    </tableColumn>
    <tableColumn id="10" xr3:uid="{00000000-0010-0000-0000-00000A000000}" name="DMC Kamera IST:" dataDxfId="20"/>
    <tableColumn id="11" xr3:uid="{00000000-0010-0000-0000-00000B000000}" name="DMC identisch:" dataDxfId="19">
      <calculatedColumnFormula>EXACT(Tabelle1[[#This Row],[DMC Kamera SOLL:]],Tabelle1[[#This Row],[DMC Kamera IST:]])</calculatedColumnFormula>
    </tableColumn>
    <tableColumn id="13" xr3:uid="{00000000-0010-0000-0000-00000D000000}" name="Configuration String aus SOME/IP-SD SOLL:" dataDxfId="18">
      <calculatedColumnFormula>"mac_address="&amp;Tabelle1[[#This Row],[MAC 2:]]&amp;"serial_nb=000"&amp;Tabelle1[[#This Row],[SNr.:]]&amp;"device_type="&amp;Tabelle1[[#This Row],[Devicetype:]]</calculatedColumnFormula>
    </tableColumn>
    <tableColumn id="14" xr3:uid="{00000000-0010-0000-0000-00000E000000}" name="Configuration String aus SOME/IP-SD IST:" dataDxfId="17"/>
    <tableColumn id="17" xr3:uid="{00000000-0010-0000-0000-000011000000}" name="Configuration String identisch:" dataDxfId="16">
      <calculatedColumnFormula>EXACT(Tabelle1[[#This Row],[Configuration String aus SOME/IP-SD SOLL:]],Tabelle1[[#This Row],[Configuration String aus SOME/IP-SD IST:]])</calculatedColumnFormula>
    </tableColumn>
    <tableColumn id="18" xr3:uid="{00000000-0010-0000-0000-000012000000}" name="Payload getCamIdentifikation (Wireshark) SOLL:" dataDxfId="15">
      <calculatedColumnFormula>Tabelle1[[#This Row],[snpn:]]&amp;"000"&amp;Tabelle1[[#This Row],[SNr.:]]&amp;LOWER(Tabelle1[[#This Row],[MAC 2:]])</calculatedColumnFormula>
    </tableColumn>
    <tableColumn id="19" xr3:uid="{00000000-0010-0000-0000-000013000000}" name="Payload getCamIdentifikation (Wireshark) IST:" dataDxfId="14"/>
    <tableColumn id="20" xr3:uid="{00000000-0010-0000-0000-000014000000}" name="Payload getCamIdentifikation identisch:" dataDxfId="13">
      <calculatedColumnFormula>EXACT(Tabelle1[[#This Row],[Payload getCamIdentifikation (Wireshark) SOLL:]],Tabelle1[[#This Row],[Payload getCamIdentifikation (Wireshark) IST:]])</calculatedColumnFormula>
    </tableColumn>
    <tableColumn id="22" xr3:uid="{00000000-0010-0000-0000-000016000000}" name="subscribe Video stream 1" dataDxfId="12"/>
    <tableColumn id="23" xr3:uid="{00000000-0010-0000-0000-000017000000}" name="subscribe Video stream 2" dataDxfId="11"/>
    <tableColumn id="27" xr3:uid="{00000000-0010-0000-0000-00001B000000}" name="Shutterfunktion _x000a_wenn vorhanden:" dataDxfId="10"/>
    <tableColumn id="24" xr3:uid="{00000000-0010-0000-0000-000018000000}" name="Powerconsumption (0,16A ±0,08A) in [A]_x000a_@28,0V @ RT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"/>
  <sheetViews>
    <sheetView tabSelected="1" zoomScale="90" zoomScaleNormal="90" workbookViewId="0">
      <selection activeCell="D1" sqref="D1:D1048576"/>
    </sheetView>
  </sheetViews>
  <sheetFormatPr baseColWidth="10" defaultRowHeight="15" x14ac:dyDescent="0.2"/>
  <cols>
    <col min="1" max="1" width="7.5" style="2" bestFit="1" customWidth="1"/>
    <col min="2" max="2" width="14.625" style="2" bestFit="1" customWidth="1"/>
    <col min="3" max="3" width="51.125" style="2" bestFit="1" customWidth="1"/>
    <col min="4" max="4" width="14.75" style="2" bestFit="1" customWidth="1"/>
    <col min="5" max="5" width="12.625" style="2" bestFit="1" customWidth="1"/>
    <col min="6" max="6" width="11.25" style="2" bestFit="1" customWidth="1"/>
    <col min="7" max="7" width="14.375" style="2" bestFit="1" customWidth="1"/>
    <col min="8" max="8" width="11.25" style="2" bestFit="1" customWidth="1"/>
    <col min="9" max="9" width="12.375" style="2" bestFit="1" customWidth="1"/>
    <col min="10" max="10" width="10.125" style="2" bestFit="1" customWidth="1"/>
    <col min="11" max="11" width="8" style="2" bestFit="1" customWidth="1"/>
    <col min="12" max="12" width="16.75" style="2" bestFit="1" customWidth="1"/>
    <col min="13" max="13" width="15.75" style="2" bestFit="1" customWidth="1"/>
    <col min="14" max="14" width="10.125" style="2" bestFit="1" customWidth="1"/>
    <col min="15" max="15" width="47.75" style="2" bestFit="1" customWidth="1"/>
    <col min="16" max="16" width="50.625" style="2" customWidth="1"/>
    <col min="17" max="17" width="17.75" style="2" bestFit="1" customWidth="1"/>
    <col min="18" max="18" width="70.625" style="2" hidden="1" customWidth="1"/>
    <col min="19" max="19" width="68" style="2" bestFit="1" customWidth="1"/>
    <col min="20" max="20" width="15.625" style="2" customWidth="1"/>
    <col min="21" max="21" width="40.625" style="2" hidden="1" customWidth="1"/>
    <col min="22" max="22" width="35.375" style="2" bestFit="1" customWidth="1"/>
    <col min="23" max="23" width="20.75" style="2" customWidth="1"/>
    <col min="24" max="25" width="12.625" style="2" customWidth="1"/>
    <col min="26" max="26" width="16.625" style="2" customWidth="1"/>
    <col min="27" max="27" width="20.625" style="9" customWidth="1"/>
    <col min="28" max="28" width="20.25" style="2" customWidth="1"/>
    <col min="29" max="16384" width="11" style="2"/>
  </cols>
  <sheetData>
    <row r="1" spans="1:27" s="4" customFormat="1" ht="47.25" x14ac:dyDescent="0.25">
      <c r="A1" s="4" t="s">
        <v>2</v>
      </c>
      <c r="B1" s="4" t="s">
        <v>1</v>
      </c>
      <c r="C1" s="4" t="s">
        <v>3</v>
      </c>
      <c r="D1" s="4" t="s">
        <v>13</v>
      </c>
      <c r="E1" s="4" t="s">
        <v>4</v>
      </c>
      <c r="F1" s="4" t="s">
        <v>26</v>
      </c>
      <c r="G1" s="4" t="s">
        <v>5</v>
      </c>
      <c r="H1" s="4" t="s">
        <v>25</v>
      </c>
      <c r="I1" s="4" t="s">
        <v>20</v>
      </c>
      <c r="J1" s="4" t="s">
        <v>6</v>
      </c>
      <c r="K1" s="4" t="s">
        <v>9</v>
      </c>
      <c r="L1" s="4" t="s">
        <v>7</v>
      </c>
      <c r="M1" s="4" t="s">
        <v>14</v>
      </c>
      <c r="N1" s="4" t="s">
        <v>10</v>
      </c>
      <c r="O1" s="4" t="s">
        <v>27</v>
      </c>
      <c r="P1" s="4" t="s">
        <v>28</v>
      </c>
      <c r="Q1" s="4" t="s">
        <v>8</v>
      </c>
      <c r="R1" s="4" t="s">
        <v>11</v>
      </c>
      <c r="S1" s="4" t="s">
        <v>12</v>
      </c>
      <c r="T1" s="4" t="s">
        <v>15</v>
      </c>
      <c r="U1" s="4" t="s">
        <v>17</v>
      </c>
      <c r="V1" s="4" t="s">
        <v>16</v>
      </c>
      <c r="W1" s="4" t="s">
        <v>24</v>
      </c>
      <c r="X1" s="6" t="s">
        <v>18</v>
      </c>
      <c r="Y1" s="6" t="s">
        <v>19</v>
      </c>
      <c r="Z1" s="6" t="s">
        <v>29</v>
      </c>
      <c r="AA1" s="7" t="s">
        <v>23</v>
      </c>
    </row>
    <row r="2" spans="1:27" x14ac:dyDescent="0.2">
      <c r="A2" s="3">
        <f t="shared" ref="A2:A7" si="0">ROW()-1</f>
        <v>1</v>
      </c>
      <c r="B2" s="1" t="s">
        <v>35</v>
      </c>
      <c r="C2" t="s">
        <v>34</v>
      </c>
      <c r="D2" s="3" t="s">
        <v>33</v>
      </c>
      <c r="E2">
        <v>24916867</v>
      </c>
      <c r="F2">
        <v>24916868</v>
      </c>
      <c r="G2" t="s">
        <v>0</v>
      </c>
      <c r="H2" t="s">
        <v>0</v>
      </c>
      <c r="I2">
        <v>4124916868</v>
      </c>
      <c r="J2" t="s">
        <v>32</v>
      </c>
      <c r="K2">
        <v>12600</v>
      </c>
      <c r="L2" s="3" t="str">
        <f t="shared" ref="L2:L7" si="1">"98D3D2-00"&amp;DEC2HEX(K2)</f>
        <v>98D3D2-003138</v>
      </c>
      <c r="M2" s="3" t="str">
        <f t="shared" ref="M2:M7" si="2">"98D3D200"&amp;DEC2HEX(K2)</f>
        <v>98D3D2003138</v>
      </c>
      <c r="N2" s="3">
        <v>260304</v>
      </c>
      <c r="O2" s="3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24916868&amp;260304&amp;12600&amp;98D3D2-003138&amp;B01</v>
      </c>
      <c r="P2" s="3"/>
      <c r="Q2" s="3" t="b">
        <f>EXACT(Tabelle1[[#This Row],[DMC Kamera SOLL:]],Tabelle1[[#This Row],[DMC Kamera IST:]])</f>
        <v>0</v>
      </c>
      <c r="R2" s="3" t="str">
        <f>"mac_address="&amp;Tabelle1[[#This Row],[MAC 2:]]&amp;"serial_nb=000"&amp;Tabelle1[[#This Row],[SNr.:]]&amp;"device_type="&amp;Tabelle1[[#This Row],[Devicetype:]]</f>
        <v>mac_address=98D3D2003138serial_nb=00012600device_type=rcam_2</v>
      </c>
      <c r="S2" s="3"/>
      <c r="T2" s="3" t="b">
        <f>EXACT(Tabelle1[[#This Row],[Configuration String aus SOME/IP-SD SOLL:]],Tabelle1[[#This Row],[Configuration String aus SOME/IP-SD IST:]])</f>
        <v>0</v>
      </c>
      <c r="U2" s="3" t="str">
        <f>Tabelle1[[#This Row],[snpn:]]&amp;"000"&amp;Tabelle1[[#This Row],[SNr.:]]&amp;LOWER(Tabelle1[[#This Row],[MAC 2:]])</f>
        <v>41249168680001260098d3d2003138</v>
      </c>
      <c r="V2" s="3"/>
      <c r="W2" s="3" t="b">
        <f>EXACT(Tabelle1[[#This Row],[Payload getCamIdentifikation (Wireshark) SOLL:]],Tabelle1[[#This Row],[Payload getCamIdentifikation (Wireshark) IST:]])</f>
        <v>0</v>
      </c>
      <c r="X2" s="5"/>
      <c r="Y2" s="5"/>
      <c r="Z2" s="5"/>
      <c r="AA2" s="8"/>
    </row>
    <row r="3" spans="1:27" x14ac:dyDescent="0.2">
      <c r="A3" s="3">
        <f t="shared" si="0"/>
        <v>2</v>
      </c>
      <c r="B3" s="1" t="s">
        <v>35</v>
      </c>
      <c r="C3" t="s">
        <v>34</v>
      </c>
      <c r="D3" s="3" t="s">
        <v>33</v>
      </c>
      <c r="E3">
        <v>24916867</v>
      </c>
      <c r="F3">
        <v>24916868</v>
      </c>
      <c r="G3" t="s">
        <v>0</v>
      </c>
      <c r="H3" t="s">
        <v>0</v>
      </c>
      <c r="I3">
        <v>4124916868</v>
      </c>
      <c r="J3" t="s">
        <v>32</v>
      </c>
      <c r="K3">
        <v>12601</v>
      </c>
      <c r="L3" s="3" t="str">
        <f t="shared" si="1"/>
        <v>98D3D2-003139</v>
      </c>
      <c r="M3" s="3" t="str">
        <f t="shared" si="2"/>
        <v>98D3D2003139</v>
      </c>
      <c r="N3" s="3">
        <v>260304</v>
      </c>
      <c r="O3" s="3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24916868&amp;260304&amp;12601&amp;98D3D2-003139&amp;B01</v>
      </c>
      <c r="P3" s="3"/>
      <c r="Q3" s="3" t="b">
        <f>EXACT(Tabelle1[[#This Row],[DMC Kamera SOLL:]],Tabelle1[[#This Row],[DMC Kamera IST:]])</f>
        <v>0</v>
      </c>
      <c r="R3" s="3" t="str">
        <f>"mac_address="&amp;Tabelle1[[#This Row],[MAC 2:]]&amp;"serial_nb=000"&amp;Tabelle1[[#This Row],[SNr.:]]&amp;"device_type="&amp;Tabelle1[[#This Row],[Devicetype:]]</f>
        <v>mac_address=98D3D2003139serial_nb=00012601device_type=rcam_2</v>
      </c>
      <c r="S3" s="3"/>
      <c r="T3" s="3" t="b">
        <f>EXACT(Tabelle1[[#This Row],[Configuration String aus SOME/IP-SD SOLL:]],Tabelle1[[#This Row],[Configuration String aus SOME/IP-SD IST:]])</f>
        <v>0</v>
      </c>
      <c r="U3" s="3" t="str">
        <f>Tabelle1[[#This Row],[snpn:]]&amp;"000"&amp;Tabelle1[[#This Row],[SNr.:]]&amp;LOWER(Tabelle1[[#This Row],[MAC 2:]])</f>
        <v>41249168680001260198d3d2003139</v>
      </c>
      <c r="V3" s="3"/>
      <c r="W3" s="3" t="b">
        <f>EXACT(Tabelle1[[#This Row],[Payload getCamIdentifikation (Wireshark) SOLL:]],Tabelle1[[#This Row],[Payload getCamIdentifikation (Wireshark) IST:]])</f>
        <v>0</v>
      </c>
      <c r="X3" s="5"/>
      <c r="Y3" s="5"/>
      <c r="Z3" s="5"/>
      <c r="AA3" s="8"/>
    </row>
    <row r="4" spans="1:27" x14ac:dyDescent="0.2">
      <c r="A4" s="3">
        <f t="shared" si="0"/>
        <v>3</v>
      </c>
      <c r="B4" s="1" t="s">
        <v>37</v>
      </c>
      <c r="C4" t="s">
        <v>36</v>
      </c>
      <c r="D4" s="3" t="s">
        <v>33</v>
      </c>
      <c r="E4">
        <v>24916866</v>
      </c>
      <c r="F4">
        <v>24916868</v>
      </c>
      <c r="G4" t="s">
        <v>0</v>
      </c>
      <c r="H4" t="s">
        <v>0</v>
      </c>
      <c r="I4">
        <v>4124916868</v>
      </c>
      <c r="J4" t="s">
        <v>32</v>
      </c>
      <c r="K4">
        <v>12602</v>
      </c>
      <c r="L4" s="3" t="str">
        <f t="shared" si="1"/>
        <v>98D3D2-00313A</v>
      </c>
      <c r="M4" s="3" t="str">
        <f t="shared" si="2"/>
        <v>98D3D200313A</v>
      </c>
      <c r="N4" s="3">
        <v>260304</v>
      </c>
      <c r="O4" s="3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24916868&amp;260304&amp;12602&amp;98D3D2-00313A&amp;B01</v>
      </c>
      <c r="P4" s="3"/>
      <c r="Q4" s="3" t="b">
        <f>EXACT(Tabelle1[[#This Row],[DMC Kamera SOLL:]],Tabelle1[[#This Row],[DMC Kamera IST:]])</f>
        <v>0</v>
      </c>
      <c r="R4" s="3" t="str">
        <f>"mac_address="&amp;Tabelle1[[#This Row],[MAC 2:]]&amp;"serial_nb=000"&amp;Tabelle1[[#This Row],[SNr.:]]&amp;"device_type="&amp;Tabelle1[[#This Row],[Devicetype:]]</f>
        <v>mac_address=98D3D200313Aserial_nb=00012602device_type=rcam_2</v>
      </c>
      <c r="S4" s="3"/>
      <c r="T4" s="3" t="b">
        <f>EXACT(Tabelle1[[#This Row],[Configuration String aus SOME/IP-SD SOLL:]],Tabelle1[[#This Row],[Configuration String aus SOME/IP-SD IST:]])</f>
        <v>0</v>
      </c>
      <c r="U4" s="3" t="str">
        <f>Tabelle1[[#This Row],[snpn:]]&amp;"000"&amp;Tabelle1[[#This Row],[SNr.:]]&amp;LOWER(Tabelle1[[#This Row],[MAC 2:]])</f>
        <v>41249168680001260298d3d200313a</v>
      </c>
      <c r="V4" s="3"/>
      <c r="W4" s="3" t="b">
        <f>EXACT(Tabelle1[[#This Row],[Payload getCamIdentifikation (Wireshark) SOLL:]],Tabelle1[[#This Row],[Payload getCamIdentifikation (Wireshark) IST:]])</f>
        <v>0</v>
      </c>
      <c r="X4" s="5"/>
      <c r="Y4" s="5"/>
      <c r="Z4" s="5"/>
      <c r="AA4" s="8"/>
    </row>
    <row r="5" spans="1:27" x14ac:dyDescent="0.2">
      <c r="A5" s="3">
        <f t="shared" si="0"/>
        <v>4</v>
      </c>
      <c r="B5" s="1" t="s">
        <v>37</v>
      </c>
      <c r="C5" t="s">
        <v>36</v>
      </c>
      <c r="D5" s="3" t="s">
        <v>33</v>
      </c>
      <c r="E5">
        <v>24916866</v>
      </c>
      <c r="F5">
        <v>24916868</v>
      </c>
      <c r="G5" t="s">
        <v>0</v>
      </c>
      <c r="H5" t="s">
        <v>0</v>
      </c>
      <c r="I5">
        <v>4124916868</v>
      </c>
      <c r="J5" t="s">
        <v>32</v>
      </c>
      <c r="K5">
        <v>12603</v>
      </c>
      <c r="L5" s="3" t="str">
        <f t="shared" si="1"/>
        <v>98D3D2-00313B</v>
      </c>
      <c r="M5" s="3" t="str">
        <f t="shared" si="2"/>
        <v>98D3D200313B</v>
      </c>
      <c r="N5" s="3">
        <v>260304</v>
      </c>
      <c r="O5" s="3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24916868&amp;260304&amp;12603&amp;98D3D2-00313B&amp;B01</v>
      </c>
      <c r="P5" s="3"/>
      <c r="Q5" s="3" t="b">
        <f>EXACT(Tabelle1[[#This Row],[DMC Kamera SOLL:]],Tabelle1[[#This Row],[DMC Kamera IST:]])</f>
        <v>0</v>
      </c>
      <c r="R5" s="3" t="str">
        <f>"mac_address="&amp;Tabelle1[[#This Row],[MAC 2:]]&amp;"serial_nb=000"&amp;Tabelle1[[#This Row],[SNr.:]]&amp;"device_type="&amp;Tabelle1[[#This Row],[Devicetype:]]</f>
        <v>mac_address=98D3D200313Bserial_nb=00012603device_type=rcam_2</v>
      </c>
      <c r="S5" s="3"/>
      <c r="T5" s="3" t="b">
        <f>EXACT(Tabelle1[[#This Row],[Configuration String aus SOME/IP-SD SOLL:]],Tabelle1[[#This Row],[Configuration String aus SOME/IP-SD IST:]])</f>
        <v>0</v>
      </c>
      <c r="U5" s="3" t="str">
        <f>Tabelle1[[#This Row],[snpn:]]&amp;"000"&amp;Tabelle1[[#This Row],[SNr.:]]&amp;LOWER(Tabelle1[[#This Row],[MAC 2:]])</f>
        <v>41249168680001260398d3d200313b</v>
      </c>
      <c r="V5" s="3"/>
      <c r="W5" s="3" t="b">
        <f>EXACT(Tabelle1[[#This Row],[Payload getCamIdentifikation (Wireshark) SOLL:]],Tabelle1[[#This Row],[Payload getCamIdentifikation (Wireshark) IST:]])</f>
        <v>0</v>
      </c>
      <c r="X5" s="5"/>
      <c r="Y5" s="5"/>
      <c r="Z5" s="5"/>
      <c r="AA5" s="8"/>
    </row>
    <row r="6" spans="1:27" x14ac:dyDescent="0.2">
      <c r="A6" s="3">
        <f t="shared" si="0"/>
        <v>5</v>
      </c>
      <c r="B6" s="1" t="s">
        <v>37</v>
      </c>
      <c r="C6" t="s">
        <v>36</v>
      </c>
      <c r="D6" s="3" t="s">
        <v>33</v>
      </c>
      <c r="E6">
        <v>24916866</v>
      </c>
      <c r="F6">
        <v>24916868</v>
      </c>
      <c r="G6" t="s">
        <v>0</v>
      </c>
      <c r="H6" t="s">
        <v>0</v>
      </c>
      <c r="I6">
        <v>4124916868</v>
      </c>
      <c r="J6" t="s">
        <v>32</v>
      </c>
      <c r="K6">
        <v>12604</v>
      </c>
      <c r="L6" s="3" t="str">
        <f t="shared" si="1"/>
        <v>98D3D2-00313C</v>
      </c>
      <c r="M6" s="3" t="str">
        <f t="shared" si="2"/>
        <v>98D3D200313C</v>
      </c>
      <c r="N6" s="3">
        <v>260304</v>
      </c>
      <c r="O6" s="3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24916868&amp;260304&amp;12604&amp;98D3D2-00313C&amp;B01</v>
      </c>
      <c r="P6" s="3"/>
      <c r="Q6" s="3" t="b">
        <f>EXACT(Tabelle1[[#This Row],[DMC Kamera SOLL:]],Tabelle1[[#This Row],[DMC Kamera IST:]])</f>
        <v>0</v>
      </c>
      <c r="R6" s="3" t="str">
        <f>"mac_address="&amp;Tabelle1[[#This Row],[MAC 2:]]&amp;"serial_nb=000"&amp;Tabelle1[[#This Row],[SNr.:]]&amp;"device_type="&amp;Tabelle1[[#This Row],[Devicetype:]]</f>
        <v>mac_address=98D3D200313Cserial_nb=00012604device_type=rcam_2</v>
      </c>
      <c r="S6" s="3"/>
      <c r="T6" s="3" t="b">
        <f>EXACT(Tabelle1[[#This Row],[Configuration String aus SOME/IP-SD SOLL:]],Tabelle1[[#This Row],[Configuration String aus SOME/IP-SD IST:]])</f>
        <v>0</v>
      </c>
      <c r="U6" s="3" t="str">
        <f>Tabelle1[[#This Row],[snpn:]]&amp;"000"&amp;Tabelle1[[#This Row],[SNr.:]]&amp;LOWER(Tabelle1[[#This Row],[MAC 2:]])</f>
        <v>41249168680001260498d3d200313c</v>
      </c>
      <c r="V6" s="3"/>
      <c r="W6" s="3" t="b">
        <f>EXACT(Tabelle1[[#This Row],[Payload getCamIdentifikation (Wireshark) SOLL:]],Tabelle1[[#This Row],[Payload getCamIdentifikation (Wireshark) IST:]])</f>
        <v>0</v>
      </c>
      <c r="X6" s="5"/>
      <c r="Y6" s="5"/>
      <c r="Z6" s="5"/>
      <c r="AA6" s="8"/>
    </row>
    <row r="7" spans="1:27" x14ac:dyDescent="0.2">
      <c r="A7" s="3">
        <f t="shared" si="0"/>
        <v>6</v>
      </c>
      <c r="B7" s="1" t="s">
        <v>38</v>
      </c>
      <c r="C7" t="s">
        <v>31</v>
      </c>
      <c r="D7" s="3" t="s">
        <v>33</v>
      </c>
      <c r="E7">
        <v>24916863</v>
      </c>
      <c r="F7">
        <v>24916868</v>
      </c>
      <c r="G7" t="s">
        <v>0</v>
      </c>
      <c r="H7" t="s">
        <v>0</v>
      </c>
      <c r="I7">
        <v>4124916868</v>
      </c>
      <c r="J7" t="s">
        <v>32</v>
      </c>
      <c r="K7">
        <v>12605</v>
      </c>
      <c r="L7" s="3" t="str">
        <f t="shared" si="1"/>
        <v>98D3D2-00313D</v>
      </c>
      <c r="M7" s="3" t="str">
        <f t="shared" si="2"/>
        <v>98D3D200313D</v>
      </c>
      <c r="N7" s="3">
        <v>260304</v>
      </c>
      <c r="O7" s="3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24916868&amp;260304&amp;12605&amp;98D3D2-00313D&amp;B01</v>
      </c>
      <c r="P7" s="3"/>
      <c r="Q7" s="3" t="b">
        <f>EXACT(Tabelle1[[#This Row],[DMC Kamera SOLL:]],Tabelle1[[#This Row],[DMC Kamera IST:]])</f>
        <v>0</v>
      </c>
      <c r="R7" s="3" t="str">
        <f>"mac_address="&amp;Tabelle1[[#This Row],[MAC 2:]]&amp;"serial_nb=000"&amp;Tabelle1[[#This Row],[SNr.:]]&amp;"device_type="&amp;Tabelle1[[#This Row],[Devicetype:]]</f>
        <v>mac_address=98D3D200313Dserial_nb=00012605device_type=rcam_2</v>
      </c>
      <c r="S7" s="3"/>
      <c r="T7" s="3" t="b">
        <f>EXACT(Tabelle1[[#This Row],[Configuration String aus SOME/IP-SD SOLL:]],Tabelle1[[#This Row],[Configuration String aus SOME/IP-SD IST:]])</f>
        <v>0</v>
      </c>
      <c r="U7" s="3" t="str">
        <f>Tabelle1[[#This Row],[snpn:]]&amp;"000"&amp;Tabelle1[[#This Row],[SNr.:]]&amp;LOWER(Tabelle1[[#This Row],[MAC 2:]])</f>
        <v>41249168680001260598d3d200313d</v>
      </c>
      <c r="V7" s="3"/>
      <c r="W7" s="3" t="b">
        <f>EXACT(Tabelle1[[#This Row],[Payload getCamIdentifikation (Wireshark) SOLL:]],Tabelle1[[#This Row],[Payload getCamIdentifikation (Wireshark) IST:]])</f>
        <v>0</v>
      </c>
      <c r="X7" s="5"/>
      <c r="Y7" s="5"/>
      <c r="Z7" s="5"/>
      <c r="AA7" s="8"/>
    </row>
    <row r="8" spans="1:27" x14ac:dyDescent="0.2">
      <c r="A8" s="10">
        <f t="shared" ref="A8:A13" si="3">ROW()-1</f>
        <v>7</v>
      </c>
      <c r="B8" s="1" t="s">
        <v>38</v>
      </c>
      <c r="C8" t="s">
        <v>31</v>
      </c>
      <c r="D8" s="3" t="s">
        <v>33</v>
      </c>
      <c r="E8">
        <v>24916863</v>
      </c>
      <c r="F8">
        <v>24916868</v>
      </c>
      <c r="G8" t="s">
        <v>0</v>
      </c>
      <c r="H8" t="s">
        <v>0</v>
      </c>
      <c r="I8">
        <v>4124916868</v>
      </c>
      <c r="J8" t="s">
        <v>32</v>
      </c>
      <c r="K8">
        <v>12606</v>
      </c>
      <c r="L8" s="10" t="str">
        <f t="shared" ref="L8:L13" si="4">"98D3D2-00"&amp;DEC2HEX(K8)</f>
        <v>98D3D2-00313E</v>
      </c>
      <c r="M8" s="10" t="str">
        <f t="shared" ref="M8:M13" si="5">"98D3D200"&amp;DEC2HEX(K8)</f>
        <v>98D3D200313E</v>
      </c>
      <c r="N8" s="3">
        <v>260304</v>
      </c>
      <c r="O8" s="10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24916868&amp;260304&amp;12606&amp;98D3D2-00313E&amp;B01</v>
      </c>
      <c r="P8" s="10"/>
      <c r="Q8" s="10" t="b">
        <f>EXACT(Tabelle1[[#This Row],[DMC Kamera SOLL:]],Tabelle1[[#This Row],[DMC Kamera IST:]])</f>
        <v>0</v>
      </c>
      <c r="R8" s="10" t="str">
        <f>"mac_address="&amp;Tabelle1[[#This Row],[MAC 2:]]&amp;"serial_nb=000"&amp;Tabelle1[[#This Row],[SNr.:]]&amp;"device_type="&amp;Tabelle1[[#This Row],[Devicetype:]]</f>
        <v>mac_address=98D3D200313Eserial_nb=00012606device_type=rcam_2</v>
      </c>
      <c r="S8" s="10"/>
      <c r="T8" s="10" t="b">
        <f>EXACT(Tabelle1[[#This Row],[Configuration String aus SOME/IP-SD SOLL:]],Tabelle1[[#This Row],[Configuration String aus SOME/IP-SD IST:]])</f>
        <v>0</v>
      </c>
      <c r="U8" s="10" t="str">
        <f>Tabelle1[[#This Row],[snpn:]]&amp;"000"&amp;Tabelle1[[#This Row],[SNr.:]]&amp;LOWER(Tabelle1[[#This Row],[MAC 2:]])</f>
        <v>41249168680001260698d3d200313e</v>
      </c>
      <c r="V8" s="10"/>
      <c r="W8" s="10" t="b">
        <f>EXACT(Tabelle1[[#This Row],[Payload getCamIdentifikation (Wireshark) SOLL:]],Tabelle1[[#This Row],[Payload getCamIdentifikation (Wireshark) IST:]])</f>
        <v>0</v>
      </c>
      <c r="X8" s="10"/>
      <c r="Y8" s="10"/>
      <c r="Z8" s="10"/>
      <c r="AA8" s="10"/>
    </row>
    <row r="9" spans="1:27" x14ac:dyDescent="0.2">
      <c r="A9" s="10">
        <f t="shared" si="3"/>
        <v>8</v>
      </c>
      <c r="B9" s="1" t="s">
        <v>38</v>
      </c>
      <c r="C9" t="s">
        <v>31</v>
      </c>
      <c r="D9" s="3" t="s">
        <v>33</v>
      </c>
      <c r="E9">
        <v>24916863</v>
      </c>
      <c r="F9">
        <v>24916868</v>
      </c>
      <c r="G9" t="s">
        <v>0</v>
      </c>
      <c r="H9" t="s">
        <v>0</v>
      </c>
      <c r="I9">
        <v>4124916868</v>
      </c>
      <c r="J9" t="s">
        <v>32</v>
      </c>
      <c r="K9">
        <v>12607</v>
      </c>
      <c r="L9" s="10" t="str">
        <f t="shared" si="4"/>
        <v>98D3D2-00313F</v>
      </c>
      <c r="M9" s="10" t="str">
        <f t="shared" si="5"/>
        <v>98D3D200313F</v>
      </c>
      <c r="N9" s="3">
        <v>260304</v>
      </c>
      <c r="O9" s="10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24916868&amp;260304&amp;12607&amp;98D3D2-00313F&amp;B01</v>
      </c>
      <c r="P9" s="10"/>
      <c r="Q9" s="10" t="b">
        <f>EXACT(Tabelle1[[#This Row],[DMC Kamera SOLL:]],Tabelle1[[#This Row],[DMC Kamera IST:]])</f>
        <v>0</v>
      </c>
      <c r="R9" s="10" t="str">
        <f>"mac_address="&amp;Tabelle1[[#This Row],[MAC 2:]]&amp;"serial_nb=000"&amp;Tabelle1[[#This Row],[SNr.:]]&amp;"device_type="&amp;Tabelle1[[#This Row],[Devicetype:]]</f>
        <v>mac_address=98D3D200313Fserial_nb=00012607device_type=rcam_2</v>
      </c>
      <c r="S9" s="10"/>
      <c r="T9" s="10" t="b">
        <f>EXACT(Tabelle1[[#This Row],[Configuration String aus SOME/IP-SD SOLL:]],Tabelle1[[#This Row],[Configuration String aus SOME/IP-SD IST:]])</f>
        <v>0</v>
      </c>
      <c r="U9" s="10" t="str">
        <f>Tabelle1[[#This Row],[snpn:]]&amp;"000"&amp;Tabelle1[[#This Row],[SNr.:]]&amp;LOWER(Tabelle1[[#This Row],[MAC 2:]])</f>
        <v>41249168680001260798d3d200313f</v>
      </c>
      <c r="V9" s="10"/>
      <c r="W9" s="10" t="b">
        <f>EXACT(Tabelle1[[#This Row],[Payload getCamIdentifikation (Wireshark) SOLL:]],Tabelle1[[#This Row],[Payload getCamIdentifikation (Wireshark) IST:]])</f>
        <v>0</v>
      </c>
      <c r="X9" s="10"/>
      <c r="Y9" s="10"/>
      <c r="Z9" s="10"/>
      <c r="AA9" s="10"/>
    </row>
    <row r="10" spans="1:27" x14ac:dyDescent="0.2">
      <c r="A10" s="10">
        <f t="shared" si="3"/>
        <v>9</v>
      </c>
      <c r="B10" s="1" t="s">
        <v>38</v>
      </c>
      <c r="C10" t="s">
        <v>31</v>
      </c>
      <c r="D10" s="3" t="s">
        <v>33</v>
      </c>
      <c r="E10">
        <v>24916863</v>
      </c>
      <c r="F10">
        <v>24916868</v>
      </c>
      <c r="G10" t="s">
        <v>0</v>
      </c>
      <c r="H10" t="s">
        <v>0</v>
      </c>
      <c r="I10">
        <v>4124916868</v>
      </c>
      <c r="J10" t="s">
        <v>32</v>
      </c>
      <c r="K10">
        <v>12608</v>
      </c>
      <c r="L10" s="10" t="str">
        <f t="shared" si="4"/>
        <v>98D3D2-003140</v>
      </c>
      <c r="M10" s="10" t="str">
        <f t="shared" si="5"/>
        <v>98D3D2003140</v>
      </c>
      <c r="N10" s="3">
        <v>260304</v>
      </c>
      <c r="O10" s="10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24916868&amp;260304&amp;12608&amp;98D3D2-003140&amp;B01</v>
      </c>
      <c r="P10" s="10"/>
      <c r="Q10" s="10" t="b">
        <f>EXACT(Tabelle1[[#This Row],[DMC Kamera SOLL:]],Tabelle1[[#This Row],[DMC Kamera IST:]])</f>
        <v>0</v>
      </c>
      <c r="R10" s="10" t="str">
        <f>"mac_address="&amp;Tabelle1[[#This Row],[MAC 2:]]&amp;"serial_nb=000"&amp;Tabelle1[[#This Row],[SNr.:]]&amp;"device_type="&amp;Tabelle1[[#This Row],[Devicetype:]]</f>
        <v>mac_address=98D3D2003140serial_nb=00012608device_type=rcam_2</v>
      </c>
      <c r="S10" s="10"/>
      <c r="T10" s="10" t="b">
        <f>EXACT(Tabelle1[[#This Row],[Configuration String aus SOME/IP-SD SOLL:]],Tabelle1[[#This Row],[Configuration String aus SOME/IP-SD IST:]])</f>
        <v>0</v>
      </c>
      <c r="U10" s="10" t="str">
        <f>Tabelle1[[#This Row],[snpn:]]&amp;"000"&amp;Tabelle1[[#This Row],[SNr.:]]&amp;LOWER(Tabelle1[[#This Row],[MAC 2:]])</f>
        <v>41249168680001260898d3d2003140</v>
      </c>
      <c r="V10" s="10"/>
      <c r="W10" s="10" t="b">
        <f>EXACT(Tabelle1[[#This Row],[Payload getCamIdentifikation (Wireshark) SOLL:]],Tabelle1[[#This Row],[Payload getCamIdentifikation (Wireshark) IST:]])</f>
        <v>0</v>
      </c>
      <c r="X10" s="10"/>
      <c r="Y10" s="10"/>
      <c r="Z10" s="10"/>
      <c r="AA10" s="10"/>
    </row>
    <row r="11" spans="1:27" x14ac:dyDescent="0.2">
      <c r="A11" s="10">
        <f t="shared" si="3"/>
        <v>10</v>
      </c>
      <c r="B11" s="1" t="s">
        <v>38</v>
      </c>
      <c r="C11" t="s">
        <v>31</v>
      </c>
      <c r="D11" s="3" t="s">
        <v>33</v>
      </c>
      <c r="E11">
        <v>24916863</v>
      </c>
      <c r="F11">
        <v>24916868</v>
      </c>
      <c r="G11" t="s">
        <v>0</v>
      </c>
      <c r="H11" t="s">
        <v>0</v>
      </c>
      <c r="I11">
        <v>4124916868</v>
      </c>
      <c r="J11" t="s">
        <v>32</v>
      </c>
      <c r="K11">
        <v>12609</v>
      </c>
      <c r="L11" s="10" t="str">
        <f t="shared" si="4"/>
        <v>98D3D2-003141</v>
      </c>
      <c r="M11" s="10" t="str">
        <f t="shared" si="5"/>
        <v>98D3D2003141</v>
      </c>
      <c r="N11" s="3">
        <v>260304</v>
      </c>
      <c r="O11" s="10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24916868&amp;260304&amp;12609&amp;98D3D2-003141&amp;B01</v>
      </c>
      <c r="P11" s="10"/>
      <c r="Q11" s="10" t="b">
        <f>EXACT(Tabelle1[[#This Row],[DMC Kamera SOLL:]],Tabelle1[[#This Row],[DMC Kamera IST:]])</f>
        <v>0</v>
      </c>
      <c r="R11" s="10" t="str">
        <f>"mac_address="&amp;Tabelle1[[#This Row],[MAC 2:]]&amp;"serial_nb=000"&amp;Tabelle1[[#This Row],[SNr.:]]&amp;"device_type="&amp;Tabelle1[[#This Row],[Devicetype:]]</f>
        <v>mac_address=98D3D2003141serial_nb=00012609device_type=rcam_2</v>
      </c>
      <c r="S11" s="10"/>
      <c r="T11" s="10" t="b">
        <f>EXACT(Tabelle1[[#This Row],[Configuration String aus SOME/IP-SD SOLL:]],Tabelle1[[#This Row],[Configuration String aus SOME/IP-SD IST:]])</f>
        <v>0</v>
      </c>
      <c r="U11" s="10" t="str">
        <f>Tabelle1[[#This Row],[snpn:]]&amp;"000"&amp;Tabelle1[[#This Row],[SNr.:]]&amp;LOWER(Tabelle1[[#This Row],[MAC 2:]])</f>
        <v>41249168680001260998d3d2003141</v>
      </c>
      <c r="V11" s="10"/>
      <c r="W11" s="10" t="b">
        <f>EXACT(Tabelle1[[#This Row],[Payload getCamIdentifikation (Wireshark) SOLL:]],Tabelle1[[#This Row],[Payload getCamIdentifikation (Wireshark) IST:]])</f>
        <v>0</v>
      </c>
      <c r="X11" s="10"/>
      <c r="Y11" s="10"/>
      <c r="Z11" s="10"/>
      <c r="AA11" s="10"/>
    </row>
    <row r="12" spans="1:27" x14ac:dyDescent="0.2">
      <c r="A12" s="10">
        <f t="shared" si="3"/>
        <v>11</v>
      </c>
      <c r="B12" s="1" t="s">
        <v>38</v>
      </c>
      <c r="C12" t="s">
        <v>31</v>
      </c>
      <c r="D12" s="3" t="s">
        <v>33</v>
      </c>
      <c r="E12">
        <v>24916863</v>
      </c>
      <c r="F12">
        <v>24916868</v>
      </c>
      <c r="G12" t="s">
        <v>0</v>
      </c>
      <c r="H12" t="s">
        <v>0</v>
      </c>
      <c r="I12">
        <v>4124916868</v>
      </c>
      <c r="J12" t="s">
        <v>32</v>
      </c>
      <c r="K12">
        <v>12610</v>
      </c>
      <c r="L12" s="10" t="str">
        <f t="shared" si="4"/>
        <v>98D3D2-003142</v>
      </c>
      <c r="M12" s="10" t="str">
        <f t="shared" si="5"/>
        <v>98D3D2003142</v>
      </c>
      <c r="N12" s="3">
        <v>260304</v>
      </c>
      <c r="O12" s="10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24916868&amp;260304&amp;12610&amp;98D3D2-003142&amp;B01</v>
      </c>
      <c r="P12" s="10"/>
      <c r="Q12" s="10" t="b">
        <f>EXACT(Tabelle1[[#This Row],[DMC Kamera SOLL:]],Tabelle1[[#This Row],[DMC Kamera IST:]])</f>
        <v>0</v>
      </c>
      <c r="R12" s="10" t="str">
        <f>"mac_address="&amp;Tabelle1[[#This Row],[MAC 2:]]&amp;"serial_nb=000"&amp;Tabelle1[[#This Row],[SNr.:]]&amp;"device_type="&amp;Tabelle1[[#This Row],[Devicetype:]]</f>
        <v>mac_address=98D3D2003142serial_nb=00012610device_type=rcam_2</v>
      </c>
      <c r="S12" s="10"/>
      <c r="T12" s="10" t="b">
        <f>EXACT(Tabelle1[[#This Row],[Configuration String aus SOME/IP-SD SOLL:]],Tabelle1[[#This Row],[Configuration String aus SOME/IP-SD IST:]])</f>
        <v>0</v>
      </c>
      <c r="U12" s="10" t="str">
        <f>Tabelle1[[#This Row],[snpn:]]&amp;"000"&amp;Tabelle1[[#This Row],[SNr.:]]&amp;LOWER(Tabelle1[[#This Row],[MAC 2:]])</f>
        <v>41249168680001261098d3d2003142</v>
      </c>
      <c r="V12" s="10"/>
      <c r="W12" s="10" t="b">
        <f>EXACT(Tabelle1[[#This Row],[Payload getCamIdentifikation (Wireshark) SOLL:]],Tabelle1[[#This Row],[Payload getCamIdentifikation (Wireshark) IST:]])</f>
        <v>0</v>
      </c>
      <c r="X12" s="10"/>
      <c r="Y12" s="10"/>
      <c r="Z12" s="10"/>
      <c r="AA12" s="10"/>
    </row>
    <row r="13" spans="1:27" x14ac:dyDescent="0.2">
      <c r="A13" s="10">
        <f t="shared" si="3"/>
        <v>12</v>
      </c>
      <c r="B13" s="1" t="s">
        <v>38</v>
      </c>
      <c r="C13" t="s">
        <v>31</v>
      </c>
      <c r="D13" s="3" t="s">
        <v>33</v>
      </c>
      <c r="E13">
        <v>24916863</v>
      </c>
      <c r="F13">
        <v>24916868</v>
      </c>
      <c r="G13" t="s">
        <v>0</v>
      </c>
      <c r="H13" t="s">
        <v>0</v>
      </c>
      <c r="I13">
        <v>4124916868</v>
      </c>
      <c r="J13" t="s">
        <v>32</v>
      </c>
      <c r="K13">
        <v>12611</v>
      </c>
      <c r="L13" s="10" t="str">
        <f t="shared" si="4"/>
        <v>98D3D2-003143</v>
      </c>
      <c r="M13" s="10" t="str">
        <f t="shared" si="5"/>
        <v>98D3D2003143</v>
      </c>
      <c r="N13" s="3">
        <v>260304</v>
      </c>
      <c r="O13" s="10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24916868&amp;260304&amp;12611&amp;98D3D2-003143&amp;B01</v>
      </c>
      <c r="P13" s="10"/>
      <c r="Q13" s="10" t="b">
        <f>EXACT(Tabelle1[[#This Row],[DMC Kamera SOLL:]],Tabelle1[[#This Row],[DMC Kamera IST:]])</f>
        <v>0</v>
      </c>
      <c r="R13" s="10" t="str">
        <f>"mac_address="&amp;Tabelle1[[#This Row],[MAC 2:]]&amp;"serial_nb=000"&amp;Tabelle1[[#This Row],[SNr.:]]&amp;"device_type="&amp;Tabelle1[[#This Row],[Devicetype:]]</f>
        <v>mac_address=98D3D2003143serial_nb=00012611device_type=rcam_2</v>
      </c>
      <c r="S13" s="10"/>
      <c r="T13" s="10" t="b">
        <f>EXACT(Tabelle1[[#This Row],[Configuration String aus SOME/IP-SD SOLL:]],Tabelle1[[#This Row],[Configuration String aus SOME/IP-SD IST:]])</f>
        <v>0</v>
      </c>
      <c r="U13" s="10" t="str">
        <f>Tabelle1[[#This Row],[snpn:]]&amp;"000"&amp;Tabelle1[[#This Row],[SNr.:]]&amp;LOWER(Tabelle1[[#This Row],[MAC 2:]])</f>
        <v>41249168680001261198d3d2003143</v>
      </c>
      <c r="V13" s="10"/>
      <c r="W13" s="10" t="b">
        <f>EXACT(Tabelle1[[#This Row],[Payload getCamIdentifikation (Wireshark) SOLL:]],Tabelle1[[#This Row],[Payload getCamIdentifikation (Wireshark) IST:]])</f>
        <v>0</v>
      </c>
      <c r="X13" s="10"/>
      <c r="Y13" s="10"/>
      <c r="Z13" s="10"/>
      <c r="AA13" s="10"/>
    </row>
  </sheetData>
  <conditionalFormatting sqref="Q1:Q13 W1:W13 T2:T13">
    <cfRule type="cellIs" dxfId="8" priority="15" operator="equal">
      <formula>TRUE</formula>
    </cfRule>
    <cfRule type="cellIs" dxfId="7" priority="16" operator="equal">
      <formula>FALSE</formula>
    </cfRule>
  </conditionalFormatting>
  <conditionalFormatting sqref="X1:Z13">
    <cfRule type="cellIs" dxfId="6" priority="1" operator="equal">
      <formula>"NOK"</formula>
    </cfRule>
    <cfRule type="cellIs" dxfId="5" priority="2" operator="equal">
      <formula>"OK"</formula>
    </cfRule>
  </conditionalFormatting>
  <conditionalFormatting sqref="X14:Z1048576">
    <cfRule type="cellIs" dxfId="4" priority="10" operator="equal">
      <formula>"NOK"</formula>
    </cfRule>
    <cfRule type="cellIs" dxfId="3" priority="11" operator="equal">
      <formula>"OK"</formula>
    </cfRule>
  </conditionalFormatting>
  <conditionalFormatting sqref="AA2:AA13">
    <cfRule type="cellIs" dxfId="2" priority="7" operator="between">
      <formula>0.08</formula>
      <formula>0.24</formula>
    </cfRule>
    <cfRule type="cellIs" dxfId="1" priority="8" operator="lessThan">
      <formula>0.08</formula>
    </cfRule>
    <cfRule type="cellIs" dxfId="0" priority="9" operator="greaterThan">
      <formula>0.24</formula>
    </cfRule>
  </conditionalFormatting>
  <pageMargins left="0.7" right="0.7" top="0.78740157499999996" bottom="0.78740157499999996" header="0.3" footer="0.3"/>
  <pageSetup paperSize="9" orientation="portrait" verticalDpi="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lookup!$A:$A</xm:f>
          </x14:formula1>
          <xm:sqref>X2:X13</xm:sqref>
        </x14:dataValidation>
        <x14:dataValidation type="list" allowBlank="1" showInputMessage="1" showErrorMessage="1" xr:uid="{00000000-0002-0000-0000-000001000000}">
          <x14:formula1>
            <xm:f>lookup!$A$1:$A$2</xm:f>
          </x14:formula1>
          <xm:sqref>Y2:Y13</xm:sqref>
        </x14:dataValidation>
        <x14:dataValidation type="list" allowBlank="1" showInputMessage="1" showErrorMessage="1" xr:uid="{00000000-0002-0000-0000-000002000000}">
          <x14:formula1>
            <xm:f>lookup!$B$1:$B$3</xm:f>
          </x14:formula1>
          <xm:sqref>Z2:Z13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3" sqref="A3"/>
    </sheetView>
  </sheetViews>
  <sheetFormatPr baseColWidth="10" defaultRowHeight="14.25" x14ac:dyDescent="0.2"/>
  <sheetData>
    <row r="1" spans="1:2" x14ac:dyDescent="0.2">
      <c r="A1" t="s">
        <v>21</v>
      </c>
      <c r="B1" t="s">
        <v>21</v>
      </c>
    </row>
    <row r="2" spans="1:2" x14ac:dyDescent="0.2">
      <c r="A2" t="s">
        <v>22</v>
      </c>
      <c r="B2" t="s">
        <v>22</v>
      </c>
    </row>
    <row r="3" spans="1:2" x14ac:dyDescent="0.2">
      <c r="B3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C0-Build</vt:lpstr>
      <vt:lpstr>lookup</vt:lpstr>
    </vt:vector>
  </TitlesOfParts>
  <Company>MEKRA Lang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Völler, Jonas</dc:creator>
  <cp:lastModifiedBy>Reiner, Stefan</cp:lastModifiedBy>
  <dcterms:created xsi:type="dcterms:W3CDTF">2025-11-11T10:42:12Z</dcterms:created>
  <dcterms:modified xsi:type="dcterms:W3CDTF">2026-03-05T08:29:41Z</dcterms:modified>
</cp:coreProperties>
</file>