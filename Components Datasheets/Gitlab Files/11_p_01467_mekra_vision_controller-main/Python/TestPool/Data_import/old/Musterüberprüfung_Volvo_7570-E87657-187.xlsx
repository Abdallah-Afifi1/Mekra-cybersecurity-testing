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oellerj\Desktop\"/>
    </mc:Choice>
  </mc:AlternateContent>
  <bookViews>
    <workbookView xWindow="0" yWindow="0" windowWidth="28770" windowHeight="11115"/>
  </bookViews>
  <sheets>
    <sheet name="C0-Build" sheetId="1" r:id="rId1"/>
    <sheet name="looku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1" l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M8" i="1"/>
  <c r="M9" i="1"/>
  <c r="M10" i="1"/>
  <c r="M11" i="1"/>
  <c r="M12" i="1"/>
  <c r="R12" i="1" s="1"/>
  <c r="T12" i="1" s="1"/>
  <c r="M13" i="1"/>
  <c r="R13" i="1" s="1"/>
  <c r="T13" i="1" s="1"/>
  <c r="M14" i="1"/>
  <c r="R14" i="1" s="1"/>
  <c r="T14" i="1" s="1"/>
  <c r="M15" i="1"/>
  <c r="R15" i="1" s="1"/>
  <c r="T15" i="1" s="1"/>
  <c r="M16" i="1"/>
  <c r="M17" i="1"/>
  <c r="M18" i="1"/>
  <c r="M19" i="1"/>
  <c r="M20" i="1"/>
  <c r="R20" i="1" s="1"/>
  <c r="T20" i="1" s="1"/>
  <c r="M21" i="1"/>
  <c r="R21" i="1" s="1"/>
  <c r="T21" i="1" s="1"/>
  <c r="M22" i="1"/>
  <c r="R22" i="1" s="1"/>
  <c r="T22" i="1" s="1"/>
  <c r="M23" i="1"/>
  <c r="R23" i="1" s="1"/>
  <c r="T23" i="1" s="1"/>
  <c r="M24" i="1"/>
  <c r="M25" i="1"/>
  <c r="M26" i="1"/>
  <c r="M27" i="1"/>
  <c r="M28" i="1"/>
  <c r="R28" i="1" s="1"/>
  <c r="T28" i="1" s="1"/>
  <c r="M29" i="1"/>
  <c r="R29" i="1" s="1"/>
  <c r="T29" i="1" s="1"/>
  <c r="M30" i="1"/>
  <c r="R30" i="1" s="1"/>
  <c r="T30" i="1" s="1"/>
  <c r="M31" i="1"/>
  <c r="R31" i="1" s="1"/>
  <c r="T31" i="1" s="1"/>
  <c r="M32" i="1"/>
  <c r="M33" i="1"/>
  <c r="M34" i="1"/>
  <c r="M35" i="1"/>
  <c r="O8" i="1"/>
  <c r="Q8" i="1" s="1"/>
  <c r="O9" i="1"/>
  <c r="Q9" i="1" s="1"/>
  <c r="O10" i="1"/>
  <c r="Q10" i="1" s="1"/>
  <c r="O11" i="1"/>
  <c r="Q11" i="1" s="1"/>
  <c r="O12" i="1"/>
  <c r="Q12" i="1" s="1"/>
  <c r="O13" i="1"/>
  <c r="Q13" i="1" s="1"/>
  <c r="O14" i="1"/>
  <c r="O15" i="1"/>
  <c r="O16" i="1"/>
  <c r="Q16" i="1" s="1"/>
  <c r="O17" i="1"/>
  <c r="Q17" i="1" s="1"/>
  <c r="O18" i="1"/>
  <c r="Q18" i="1" s="1"/>
  <c r="O19" i="1"/>
  <c r="Q19" i="1" s="1"/>
  <c r="O20" i="1"/>
  <c r="Q20" i="1" s="1"/>
  <c r="O21" i="1"/>
  <c r="Q21" i="1" s="1"/>
  <c r="O22" i="1"/>
  <c r="Q22" i="1" s="1"/>
  <c r="O23" i="1"/>
  <c r="O24" i="1"/>
  <c r="Q24" i="1" s="1"/>
  <c r="O25" i="1"/>
  <c r="Q25" i="1" s="1"/>
  <c r="O26" i="1"/>
  <c r="Q26" i="1" s="1"/>
  <c r="O27" i="1"/>
  <c r="Q27" i="1" s="1"/>
  <c r="O28" i="1"/>
  <c r="Q28" i="1" s="1"/>
  <c r="O29" i="1"/>
  <c r="Q29" i="1" s="1"/>
  <c r="O30" i="1"/>
  <c r="Q30" i="1" s="1"/>
  <c r="O31" i="1"/>
  <c r="O32" i="1"/>
  <c r="Q32" i="1" s="1"/>
  <c r="O33" i="1"/>
  <c r="Q33" i="1" s="1"/>
  <c r="O34" i="1"/>
  <c r="Q34" i="1" s="1"/>
  <c r="O35" i="1"/>
  <c r="Q35" i="1" s="1"/>
  <c r="Q14" i="1"/>
  <c r="Q15" i="1"/>
  <c r="Q23" i="1"/>
  <c r="Q31" i="1"/>
  <c r="R8" i="1"/>
  <c r="T8" i="1" s="1"/>
  <c r="R9" i="1"/>
  <c r="T9" i="1" s="1"/>
  <c r="R10" i="1"/>
  <c r="T10" i="1" s="1"/>
  <c r="R11" i="1"/>
  <c r="T11" i="1" s="1"/>
  <c r="R16" i="1"/>
  <c r="T16" i="1" s="1"/>
  <c r="R17" i="1"/>
  <c r="T17" i="1" s="1"/>
  <c r="R18" i="1"/>
  <c r="T18" i="1" s="1"/>
  <c r="R19" i="1"/>
  <c r="T19" i="1" s="1"/>
  <c r="R24" i="1"/>
  <c r="T24" i="1" s="1"/>
  <c r="R25" i="1"/>
  <c r="T25" i="1" s="1"/>
  <c r="R26" i="1"/>
  <c r="T26" i="1" s="1"/>
  <c r="R27" i="1"/>
  <c r="T27" i="1" s="1"/>
  <c r="R32" i="1"/>
  <c r="T32" i="1" s="1"/>
  <c r="R33" i="1"/>
  <c r="T33" i="1" s="1"/>
  <c r="R34" i="1"/>
  <c r="T34" i="1" s="1"/>
  <c r="R35" i="1"/>
  <c r="T35" i="1" s="1"/>
  <c r="U8" i="1"/>
  <c r="W8" i="1" s="1"/>
  <c r="U9" i="1"/>
  <c r="W9" i="1" s="1"/>
  <c r="U10" i="1"/>
  <c r="W10" i="1" s="1"/>
  <c r="U11" i="1"/>
  <c r="W11" i="1" s="1"/>
  <c r="U16" i="1"/>
  <c r="W16" i="1" s="1"/>
  <c r="U17" i="1"/>
  <c r="W17" i="1" s="1"/>
  <c r="U18" i="1"/>
  <c r="W18" i="1" s="1"/>
  <c r="U19" i="1"/>
  <c r="W19" i="1" s="1"/>
  <c r="U24" i="1"/>
  <c r="W24" i="1" s="1"/>
  <c r="U25" i="1"/>
  <c r="W25" i="1" s="1"/>
  <c r="U26" i="1"/>
  <c r="W26" i="1" s="1"/>
  <c r="U27" i="1"/>
  <c r="W27" i="1" s="1"/>
  <c r="U32" i="1"/>
  <c r="W32" i="1" s="1"/>
  <c r="U33" i="1"/>
  <c r="W33" i="1" s="1"/>
  <c r="U34" i="1"/>
  <c r="W34" i="1" s="1"/>
  <c r="U35" i="1"/>
  <c r="W35" i="1" s="1"/>
  <c r="U31" i="1" l="1"/>
  <c r="W31" i="1" s="1"/>
  <c r="U23" i="1"/>
  <c r="W23" i="1" s="1"/>
  <c r="U15" i="1"/>
  <c r="W15" i="1" s="1"/>
  <c r="U30" i="1"/>
  <c r="W30" i="1" s="1"/>
  <c r="U22" i="1"/>
  <c r="W22" i="1" s="1"/>
  <c r="U14" i="1"/>
  <c r="W14" i="1" s="1"/>
  <c r="U29" i="1"/>
  <c r="W29" i="1" s="1"/>
  <c r="U21" i="1"/>
  <c r="W21" i="1" s="1"/>
  <c r="U13" i="1"/>
  <c r="W13" i="1" s="1"/>
  <c r="U28" i="1"/>
  <c r="W28" i="1" s="1"/>
  <c r="U20" i="1"/>
  <c r="W20" i="1" s="1"/>
  <c r="U12" i="1"/>
  <c r="W12" i="1" s="1"/>
  <c r="M2" i="1" l="1"/>
  <c r="R2" i="1" s="1"/>
  <c r="T2" i="1" s="1"/>
  <c r="M3" i="1"/>
  <c r="R3" i="1" s="1"/>
  <c r="T3" i="1" s="1"/>
  <c r="M4" i="1"/>
  <c r="R4" i="1" s="1"/>
  <c r="T4" i="1" s="1"/>
  <c r="M5" i="1"/>
  <c r="R5" i="1" s="1"/>
  <c r="T5" i="1" s="1"/>
  <c r="M6" i="1"/>
  <c r="R6" i="1" s="1"/>
  <c r="T6" i="1" s="1"/>
  <c r="M7" i="1"/>
  <c r="R7" i="1" s="1"/>
  <c r="T7" i="1" s="1"/>
  <c r="A2" i="1"/>
  <c r="A3" i="1"/>
  <c r="A4" i="1"/>
  <c r="A5" i="1"/>
  <c r="A6" i="1"/>
  <c r="A7" i="1"/>
  <c r="L7" i="1"/>
  <c r="O7" i="1" s="1"/>
  <c r="L6" i="1"/>
  <c r="O6" i="1" s="1"/>
  <c r="L5" i="1"/>
  <c r="O5" i="1" s="1"/>
  <c r="L4" i="1"/>
  <c r="O4" i="1" s="1"/>
  <c r="L3" i="1"/>
  <c r="O3" i="1" s="1"/>
  <c r="L2" i="1"/>
  <c r="O2" i="1" s="1"/>
  <c r="U7" i="1" l="1"/>
  <c r="W7" i="1" s="1"/>
  <c r="U6" i="1"/>
  <c r="W6" i="1" s="1"/>
  <c r="U5" i="1"/>
  <c r="W5" i="1" s="1"/>
  <c r="U4" i="1"/>
  <c r="W4" i="1" s="1"/>
  <c r="U3" i="1"/>
  <c r="W3" i="1" s="1"/>
  <c r="U2" i="1"/>
  <c r="W2" i="1" s="1"/>
  <c r="Q4" i="1"/>
  <c r="Q7" i="1"/>
  <c r="Q6" i="1"/>
  <c r="Q5" i="1"/>
  <c r="Q2" i="1"/>
  <c r="Q3" i="1"/>
</calcChain>
</file>

<file path=xl/comments1.xml><?xml version="1.0" encoding="utf-8"?>
<comments xmlns="http://schemas.openxmlformats.org/spreadsheetml/2006/main">
  <authors>
    <author>Völler, Jonas</author>
  </authors>
  <commentList>
    <comment ref="S1" authorId="0" shapeId="0">
      <text>
        <r>
          <rPr>
            <b/>
            <sz val="9"/>
            <color indexed="81"/>
            <rFont val="Segoe UI"/>
            <family val="2"/>
          </rPr>
          <t>Völler, Jonas:</t>
        </r>
        <r>
          <rPr>
            <sz val="9"/>
            <color indexed="81"/>
            <rFont val="Segoe UI"/>
            <family val="2"/>
          </rPr>
          <t xml:space="preserve">
Configurationstring als ASCII aus Wireshark kopieren</t>
        </r>
      </text>
    </comment>
    <comment ref="V1" authorId="0" shapeId="0">
      <text>
        <r>
          <rPr>
            <b/>
            <sz val="9"/>
            <color indexed="81"/>
            <rFont val="Segoe UI"/>
            <family val="2"/>
          </rPr>
          <t>Völler, Jonas:</t>
        </r>
        <r>
          <rPr>
            <sz val="9"/>
            <color indexed="81"/>
            <rFont val="Segoe UI"/>
            <family val="2"/>
          </rPr>
          <t xml:space="preserve">
Payload als Wert kopieren</t>
        </r>
      </text>
    </comment>
  </commentList>
</comments>
</file>

<file path=xl/sharedStrings.xml><?xml version="1.0" encoding="utf-8"?>
<sst xmlns="http://schemas.openxmlformats.org/spreadsheetml/2006/main" count="236" uniqueCount="38">
  <si>
    <t>B01</t>
  </si>
  <si>
    <t>MEKRA-Nr.:</t>
  </si>
  <si>
    <t>Lfd.:</t>
  </si>
  <si>
    <t>Bezeichung:</t>
  </si>
  <si>
    <t>Volvo Nr.:</t>
  </si>
  <si>
    <t>Volvo Index / Rev.:</t>
  </si>
  <si>
    <t>PAR:</t>
  </si>
  <si>
    <t>MAC.Adresse:</t>
  </si>
  <si>
    <t>DMC identisch:</t>
  </si>
  <si>
    <t>SNr.:</t>
  </si>
  <si>
    <t>Datum:</t>
  </si>
  <si>
    <t>Configuration String aus SOME/IP-SD SOLL:</t>
  </si>
  <si>
    <t>Configuration String aus SOME/IP-SD IST:</t>
  </si>
  <si>
    <t>Devicetype:</t>
  </si>
  <si>
    <t>MAC 2:</t>
  </si>
  <si>
    <t>Configuration String identisch:</t>
  </si>
  <si>
    <t>Payload getCamIdentifikation (Wireshark) IST:</t>
  </si>
  <si>
    <t>Payload getCamIdentifikation (Wireshark) SOLL:</t>
  </si>
  <si>
    <t>subscribe Video stream 1</t>
  </si>
  <si>
    <t>subscribe Video stream 2</t>
  </si>
  <si>
    <t>snpn:</t>
  </si>
  <si>
    <t>OK</t>
  </si>
  <si>
    <t>NOK</t>
  </si>
  <si>
    <t>Powerconsumption (0,16A ±0,08A) in [A]
@28,0V @ RT</t>
  </si>
  <si>
    <t>Payload getCamIdentifikation identisch:</t>
  </si>
  <si>
    <t>Index Kamera:</t>
  </si>
  <si>
    <t>Volvo Nummer Kamera:</t>
  </si>
  <si>
    <t>DMC Kamera SOLL:</t>
  </si>
  <si>
    <t>DMC Kamera IST:</t>
  </si>
  <si>
    <t>Shutterfunktion 
wenn vorhanden:</t>
  </si>
  <si>
    <t>N/A</t>
  </si>
  <si>
    <t>rcam_2</t>
  </si>
  <si>
    <t>PAR10C0</t>
  </si>
  <si>
    <t>B02</t>
  </si>
  <si>
    <t>RLC Standard Kamera 1315 Rigid Side Mount VOLVO</t>
  </si>
  <si>
    <t>RLC Standard Kamera 1315 Tractor Side General VOLVO</t>
  </si>
  <si>
    <t>281315009001</t>
  </si>
  <si>
    <t>281315005001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</si>
</sst>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sz val="11"/>
      <color theme="1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quotePrefix="1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3" fillId="0" borderId="0" xfId="0" applyNumberFormat="1" applyFont="1" applyAlignment="1">
      <alignment vertical="center"/>
    </xf>
    <xf numFmtId="0" fontId="4" fillId="0" borderId="0" xfId="0" applyNumberFormat="1" applyFont="1" applyAlignment="1">
      <alignment vertical="center"/>
    </xf>
    <xf numFmtId="0" fontId="4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164" fontId="4" fillId="0" borderId="0" xfId="0" applyNumberFormat="1" applyFont="1" applyAlignment="1">
      <alignment vertical="center"/>
    </xf>
    <xf numFmtId="164" fontId="3" fillId="0" borderId="0" xfId="0" applyNumberFormat="1" applyFont="1"/>
    <xf numFmtId="0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Standard" xfId="0" builtinId="0"/>
  </cellStyles>
  <dxfs count="39"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1" indent="0" justifyLastLine="0" shrinkToFit="0" readingOrder="0"/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le1" displayName="Tabelle1" ref="A1:AA35" totalsRowShown="0" headerRowDxfId="26" dataDxfId="25">
  <autoFilter ref="A1:AA35"/>
  <tableColumns count="27">
    <tableColumn id="1" name="Lfd.:" dataDxfId="24">
      <calculatedColumnFormula>ROW()-1</calculatedColumnFormula>
    </tableColumn>
    <tableColumn id="2" name="MEKRA-Nr.:" dataDxfId="23"/>
    <tableColumn id="3" name="Bezeichung:" dataDxfId="22"/>
    <tableColumn id="15" name="Devicetype:" dataDxfId="21"/>
    <tableColumn id="4" name="Volvo Nr.:" dataDxfId="20"/>
    <tableColumn id="26" name="Volvo Nummer Kamera:"/>
    <tableColumn id="5" name="Volvo Index / Rev.:" dataDxfId="19"/>
    <tableColumn id="25" name="Index Kamera:"/>
    <tableColumn id="21" name="snpn:" dataDxfId="18"/>
    <tableColumn id="6" name="PAR:" dataDxfId="17"/>
    <tableColumn id="7" name="SNr.:" dataDxfId="16"/>
    <tableColumn id="8" name="MAC.Adresse:" dataDxfId="15">
      <calculatedColumnFormula>"98D3D2-00"&amp;DEC2HEX(K2)</calculatedColumnFormula>
    </tableColumn>
    <tableColumn id="16" name="MAC 2:" dataDxfId="14">
      <calculatedColumnFormula>"98D3D200"&amp;DEC2HEX(K2)</calculatedColumnFormula>
    </tableColumn>
    <tableColumn id="12" name="Datum:" dataDxfId="13"/>
    <tableColumn id="9" name="DMC Kamera SOLL:" dataDxfId="12">
      <calculatedColumnFormula>Tabelle1[[#This Row],[Volvo Nummer Kamera:]]&amp;"&amp;"&amp;Tabelle1[[#This Row],[Datum:]]&amp;"&amp;"&amp;Tabelle1[[#This Row],[SNr.:]]&amp;"&amp;"&amp;Tabelle1[[#This Row],[MAC.Adresse:]]&amp;"&amp;"&amp;Tabelle1[[#This Row],[Index Kamera:]]</calculatedColumnFormula>
    </tableColumn>
    <tableColumn id="10" name="DMC Kamera IST:" dataDxfId="11"/>
    <tableColumn id="11" name="DMC identisch:" dataDxfId="10">
      <calculatedColumnFormula>EXACT(Tabelle1[[#This Row],[DMC Kamera SOLL:]],Tabelle1[[#This Row],[DMC Kamera IST:]])</calculatedColumnFormula>
    </tableColumn>
    <tableColumn id="13" name="Configuration String aus SOME/IP-SD SOLL:" dataDxfId="9">
      <calculatedColumnFormula>"mac_address="&amp;Tabelle1[[#This Row],[MAC 2:]]&amp;"serial_nb=000"&amp;Tabelle1[[#This Row],[SNr.:]]&amp;"device_type="&amp;Tabelle1[[#This Row],[Devicetype:]]</calculatedColumnFormula>
    </tableColumn>
    <tableColumn id="14" name="Configuration String aus SOME/IP-SD IST:" dataDxfId="8"/>
    <tableColumn id="17" name="Configuration String identisch:" dataDxfId="7">
      <calculatedColumnFormula>EXACT(Tabelle1[[#This Row],[Configuration String aus SOME/IP-SD SOLL:]],Tabelle1[[#This Row],[Configuration String aus SOME/IP-SD IST:]])</calculatedColumnFormula>
    </tableColumn>
    <tableColumn id="18" name="Payload getCamIdentifikation (Wireshark) SOLL:" dataDxfId="6">
      <calculatedColumnFormula>Tabelle1[[#This Row],[snpn:]]&amp;"000"&amp;Tabelle1[[#This Row],[SNr.:]]&amp;LOWER(Tabelle1[[#This Row],[MAC 2:]])</calculatedColumnFormula>
    </tableColumn>
    <tableColumn id="19" name="Payload getCamIdentifikation (Wireshark) IST:" dataDxfId="5"/>
    <tableColumn id="20" name="Payload getCamIdentifikation identisch:" dataDxfId="4">
      <calculatedColumnFormula>EXACT(Tabelle1[[#This Row],[Payload getCamIdentifikation (Wireshark) SOLL:]],Tabelle1[[#This Row],[Payload getCamIdentifikation (Wireshark) IST:]])</calculatedColumnFormula>
    </tableColumn>
    <tableColumn id="22" name="subscribe Video stream 1" dataDxfId="3"/>
    <tableColumn id="23" name="subscribe Video stream 2" dataDxfId="2"/>
    <tableColumn id="27" name="Shutterfunktion _x000a_wenn vorhanden:" dataDxfId="1"/>
    <tableColumn id="24" name="Powerconsumption (0,16A ±0,08A) in [A]_x000a_@28,0V @ R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35"/>
  <sheetViews>
    <sheetView tabSelected="1" zoomScale="90" zoomScaleNormal="90" workbookViewId="0">
      <selection activeCell="N43" sqref="N43"/>
    </sheetView>
  </sheetViews>
  <sheetFormatPr baseColWidth="10" defaultRowHeight="15" x14ac:dyDescent="0.2"/>
  <cols>
    <col min="1" max="1" width="7.5" style="2" bestFit="1" customWidth="1"/>
    <col min="2" max="2" width="14.625" style="2" bestFit="1" customWidth="1"/>
    <col min="3" max="3" width="51.125" style="2" bestFit="1" customWidth="1"/>
    <col min="4" max="4" width="14.75" style="2" bestFit="1" customWidth="1"/>
    <col min="5" max="5" width="12.625" style="2" bestFit="1" customWidth="1"/>
    <col min="6" max="6" width="11.25" style="2" bestFit="1" customWidth="1"/>
    <col min="7" max="7" width="14.375" style="2" bestFit="1" customWidth="1"/>
    <col min="8" max="8" width="11.25" style="2" bestFit="1" customWidth="1"/>
    <col min="9" max="9" width="12.375" style="2" bestFit="1" customWidth="1"/>
    <col min="10" max="10" width="10.125" style="2" bestFit="1" customWidth="1"/>
    <col min="11" max="11" width="8" style="2" bestFit="1" customWidth="1"/>
    <col min="12" max="12" width="16.75" style="2" bestFit="1" customWidth="1"/>
    <col min="13" max="13" width="15.75" style="2" bestFit="1" customWidth="1"/>
    <col min="14" max="14" width="10.125" style="2" bestFit="1" customWidth="1"/>
    <col min="15" max="15" width="47.75" style="2" bestFit="1" customWidth="1"/>
    <col min="16" max="16" width="50.625" style="2" customWidth="1"/>
    <col min="17" max="17" width="17.75" style="2" bestFit="1" customWidth="1"/>
    <col min="18" max="18" width="70.625" style="2" hidden="1" customWidth="1"/>
    <col min="19" max="19" width="68" style="2" bestFit="1" customWidth="1"/>
    <col min="20" max="20" width="15.625" style="2" customWidth="1"/>
    <col min="21" max="21" width="40.625" style="2" hidden="1" customWidth="1"/>
    <col min="22" max="22" width="35.375" style="2" bestFit="1" customWidth="1"/>
    <col min="23" max="23" width="20.75" style="2" customWidth="1"/>
    <col min="24" max="25" width="12.625" style="2" customWidth="1"/>
    <col min="26" max="26" width="16.625" style="2" customWidth="1"/>
    <col min="27" max="27" width="20.625" style="10" customWidth="1"/>
    <col min="28" max="28" width="20.25" style="2" customWidth="1"/>
    <col min="29" max="16384" width="11" style="2"/>
  </cols>
  <sheetData>
    <row r="1" spans="1:27" s="4" customFormat="1" ht="45" x14ac:dyDescent="0.2">
      <c r="A1" s="4" t="s">
        <v>2</v>
      </c>
      <c r="B1" s="4" t="s">
        <v>1</v>
      </c>
      <c r="C1" s="4" t="s">
        <v>3</v>
      </c>
      <c r="D1" s="4" t="s">
        <v>13</v>
      </c>
      <c r="E1" s="4" t="s">
        <v>4</v>
      </c>
      <c r="F1" s="4" t="s">
        <v>26</v>
      </c>
      <c r="G1" s="4" t="s">
        <v>5</v>
      </c>
      <c r="H1" s="4" t="s">
        <v>25</v>
      </c>
      <c r="I1" s="4" t="s">
        <v>20</v>
      </c>
      <c r="J1" s="4" t="s">
        <v>6</v>
      </c>
      <c r="K1" s="4" t="s">
        <v>9</v>
      </c>
      <c r="L1" s="4" t="s">
        <v>7</v>
      </c>
      <c r="M1" s="4" t="s">
        <v>14</v>
      </c>
      <c r="N1" s="4" t="s">
        <v>10</v>
      </c>
      <c r="O1" s="4" t="s">
        <v>27</v>
      </c>
      <c r="P1" s="4" t="s">
        <v>28</v>
      </c>
      <c r="Q1" s="4" t="s">
        <v>8</v>
      </c>
      <c r="R1" s="4" t="s">
        <v>11</v>
      </c>
      <c r="S1" s="4" t="s">
        <v>12</v>
      </c>
      <c r="T1" s="4" t="s">
        <v>15</v>
      </c>
      <c r="U1" s="4" t="s">
        <v>17</v>
      </c>
      <c r="V1" s="4" t="s">
        <v>16</v>
      </c>
      <c r="W1" s="4" t="s">
        <v>24</v>
      </c>
      <c r="X1" s="7" t="s">
        <v>18</v>
      </c>
      <c r="Y1" s="7" t="s">
        <v>19</v>
      </c>
      <c r="Z1" s="7" t="s">
        <v>29</v>
      </c>
      <c r="AA1" s="8" t="s">
        <v>23</v>
      </c>
    </row>
    <row r="2" spans="1:27" x14ac:dyDescent="0.2">
      <c r="A2" s="3">
        <f t="shared" ref="A2:A7" si="0">ROW()-1</f>
        <v>1</v>
      </c>
      <c r="B2" s="1" t="s">
        <v>36</v>
      </c>
      <c r="C2" t="s">
        <v>34</v>
      </c>
      <c r="D2" s="3" t="s">
        <v>31</v>
      </c>
      <c r="E2">
        <v>24570242</v>
      </c>
      <c r="F2">
        <v>24548571</v>
      </c>
      <c r="G2" t="s">
        <v>0</v>
      </c>
      <c r="H2" t="s">
        <v>33</v>
      </c>
      <c r="I2" s="11">
        <v>4224548571</v>
      </c>
      <c r="J2" t="s">
        <v>32</v>
      </c>
      <c r="K2">
        <v>12560</v>
      </c>
      <c r="L2" s="3" t="str">
        <f t="shared" ref="L2:L7" si="1">"98D3D2-00"&amp;DEC2HEX(K2)</f>
        <v>98D3D2-003110</v>
      </c>
      <c r="M2" s="3" t="str">
        <f t="shared" ref="M2:M7" si="2">"98D3D200"&amp;DEC2HEX(K2)</f>
        <v>98D3D2003110</v>
      </c>
      <c r="N2" s="3">
        <v>260227</v>
      </c>
      <c r="O2" s="3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24548571&amp;260227&amp;12560&amp;98D3D2-003110&amp;B02</v>
      </c>
      <c r="P2" s="3"/>
      <c r="Q2" s="3" t="b">
        <f>EXACT(Tabelle1[[#This Row],[DMC Kamera SOLL:]],Tabelle1[[#This Row],[DMC Kamera IST:]])</f>
        <v>0</v>
      </c>
      <c r="R2" s="3" t="str">
        <f>"mac_address="&amp;Tabelle1[[#This Row],[MAC 2:]]&amp;"serial_nb=000"&amp;Tabelle1[[#This Row],[SNr.:]]&amp;"device_type="&amp;Tabelle1[[#This Row],[Devicetype:]]</f>
        <v>mac_address=98D3D2003110serial_nb=00012560device_type=rcam_2</v>
      </c>
      <c r="S2" s="3"/>
      <c r="T2" s="5" t="b">
        <f>EXACT(Tabelle1[[#This Row],[Configuration String aus SOME/IP-SD SOLL:]],Tabelle1[[#This Row],[Configuration String aus SOME/IP-SD IST:]])</f>
        <v>0</v>
      </c>
      <c r="U2" s="5" t="str">
        <f>Tabelle1[[#This Row],[snpn:]]&amp;"000"&amp;Tabelle1[[#This Row],[SNr.:]]&amp;LOWER(Tabelle1[[#This Row],[MAC 2:]])</f>
        <v>42245485710001256098d3d2003110</v>
      </c>
      <c r="V2" s="5"/>
      <c r="W2" s="5" t="b">
        <f>EXACT(Tabelle1[[#This Row],[Payload getCamIdentifikation (Wireshark) SOLL:]],Tabelle1[[#This Row],[Payload getCamIdentifikation (Wireshark) IST:]])</f>
        <v>0</v>
      </c>
      <c r="X2" s="6"/>
      <c r="Y2" s="6"/>
      <c r="Z2" s="6"/>
      <c r="AA2" s="9"/>
    </row>
    <row r="3" spans="1:27" x14ac:dyDescent="0.2">
      <c r="A3" s="3">
        <f t="shared" si="0"/>
        <v>2</v>
      </c>
      <c r="B3" s="1" t="s">
        <v>36</v>
      </c>
      <c r="C3" t="s">
        <v>34</v>
      </c>
      <c r="D3" s="3" t="s">
        <v>31</v>
      </c>
      <c r="E3">
        <v>24570242</v>
      </c>
      <c r="F3">
        <v>24548571</v>
      </c>
      <c r="G3" t="s">
        <v>0</v>
      </c>
      <c r="H3" t="s">
        <v>33</v>
      </c>
      <c r="I3" s="11">
        <v>4224548571</v>
      </c>
      <c r="J3" t="s">
        <v>32</v>
      </c>
      <c r="K3">
        <v>12561</v>
      </c>
      <c r="L3" s="3" t="str">
        <f t="shared" si="1"/>
        <v>98D3D2-003111</v>
      </c>
      <c r="M3" s="3" t="str">
        <f t="shared" si="2"/>
        <v>98D3D2003111</v>
      </c>
      <c r="N3" s="3">
        <v>260227</v>
      </c>
      <c r="O3" s="3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24548571&amp;260227&amp;12561&amp;98D3D2-003111&amp;B02</v>
      </c>
      <c r="P3" s="3"/>
      <c r="Q3" s="3" t="b">
        <f>EXACT(Tabelle1[[#This Row],[DMC Kamera SOLL:]],Tabelle1[[#This Row],[DMC Kamera IST:]])</f>
        <v>0</v>
      </c>
      <c r="R3" s="3" t="str">
        <f>"mac_address="&amp;Tabelle1[[#This Row],[MAC 2:]]&amp;"serial_nb=000"&amp;Tabelle1[[#This Row],[SNr.:]]&amp;"device_type="&amp;Tabelle1[[#This Row],[Devicetype:]]</f>
        <v>mac_address=98D3D2003111serial_nb=00012561device_type=rcam_2</v>
      </c>
      <c r="S3" s="3"/>
      <c r="T3" s="5" t="b">
        <f>EXACT(Tabelle1[[#This Row],[Configuration String aus SOME/IP-SD SOLL:]],Tabelle1[[#This Row],[Configuration String aus SOME/IP-SD IST:]])</f>
        <v>0</v>
      </c>
      <c r="U3" s="5" t="str">
        <f>Tabelle1[[#This Row],[snpn:]]&amp;"000"&amp;Tabelle1[[#This Row],[SNr.:]]&amp;LOWER(Tabelle1[[#This Row],[MAC 2:]])</f>
        <v>42245485710001256198d3d2003111</v>
      </c>
      <c r="V3" s="5"/>
      <c r="W3" s="5" t="b">
        <f>EXACT(Tabelle1[[#This Row],[Payload getCamIdentifikation (Wireshark) SOLL:]],Tabelle1[[#This Row],[Payload getCamIdentifikation (Wireshark) IST:]])</f>
        <v>0</v>
      </c>
      <c r="X3" s="6"/>
      <c r="Y3" s="6"/>
      <c r="Z3" s="6"/>
      <c r="AA3" s="9"/>
    </row>
    <row r="4" spans="1:27" x14ac:dyDescent="0.2">
      <c r="A4" s="3">
        <f t="shared" si="0"/>
        <v>3</v>
      </c>
      <c r="B4" s="1" t="s">
        <v>36</v>
      </c>
      <c r="C4" t="s">
        <v>34</v>
      </c>
      <c r="D4" s="3" t="s">
        <v>31</v>
      </c>
      <c r="E4">
        <v>24570242</v>
      </c>
      <c r="F4">
        <v>24548571</v>
      </c>
      <c r="G4" t="s">
        <v>0</v>
      </c>
      <c r="H4" t="s">
        <v>33</v>
      </c>
      <c r="I4" s="11">
        <v>4224548571</v>
      </c>
      <c r="J4" t="s">
        <v>32</v>
      </c>
      <c r="K4">
        <v>12562</v>
      </c>
      <c r="L4" s="3" t="str">
        <f t="shared" si="1"/>
        <v>98D3D2-003112</v>
      </c>
      <c r="M4" s="3" t="str">
        <f t="shared" si="2"/>
        <v>98D3D2003112</v>
      </c>
      <c r="N4" s="3">
        <v>260227</v>
      </c>
      <c r="O4" s="3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24548571&amp;260227&amp;12562&amp;98D3D2-003112&amp;B02</v>
      </c>
      <c r="P4" s="3"/>
      <c r="Q4" s="3" t="b">
        <f>EXACT(Tabelle1[[#This Row],[DMC Kamera SOLL:]],Tabelle1[[#This Row],[DMC Kamera IST:]])</f>
        <v>0</v>
      </c>
      <c r="R4" s="3" t="str">
        <f>"mac_address="&amp;Tabelle1[[#This Row],[MAC 2:]]&amp;"serial_nb=000"&amp;Tabelle1[[#This Row],[SNr.:]]&amp;"device_type="&amp;Tabelle1[[#This Row],[Devicetype:]]</f>
        <v>mac_address=98D3D2003112serial_nb=00012562device_type=rcam_2</v>
      </c>
      <c r="S4" s="3"/>
      <c r="T4" s="5" t="b">
        <f>EXACT(Tabelle1[[#This Row],[Configuration String aus SOME/IP-SD SOLL:]],Tabelle1[[#This Row],[Configuration String aus SOME/IP-SD IST:]])</f>
        <v>0</v>
      </c>
      <c r="U4" s="5" t="str">
        <f>Tabelle1[[#This Row],[snpn:]]&amp;"000"&amp;Tabelle1[[#This Row],[SNr.:]]&amp;LOWER(Tabelle1[[#This Row],[MAC 2:]])</f>
        <v>42245485710001256298d3d2003112</v>
      </c>
      <c r="V4" s="5"/>
      <c r="W4" s="5" t="b">
        <f>EXACT(Tabelle1[[#This Row],[Payload getCamIdentifikation (Wireshark) SOLL:]],Tabelle1[[#This Row],[Payload getCamIdentifikation (Wireshark) IST:]])</f>
        <v>0</v>
      </c>
      <c r="X4" s="6"/>
      <c r="Y4" s="6"/>
      <c r="Z4" s="6"/>
      <c r="AA4" s="9"/>
    </row>
    <row r="5" spans="1:27" x14ac:dyDescent="0.2">
      <c r="A5" s="3">
        <f t="shared" si="0"/>
        <v>4</v>
      </c>
      <c r="B5" s="1" t="s">
        <v>36</v>
      </c>
      <c r="C5" t="s">
        <v>34</v>
      </c>
      <c r="D5" s="3" t="s">
        <v>31</v>
      </c>
      <c r="E5">
        <v>24570242</v>
      </c>
      <c r="F5">
        <v>24548571</v>
      </c>
      <c r="G5" t="s">
        <v>0</v>
      </c>
      <c r="H5" t="s">
        <v>33</v>
      </c>
      <c r="I5" s="11">
        <v>4224548571</v>
      </c>
      <c r="J5" t="s">
        <v>32</v>
      </c>
      <c r="K5">
        <v>12563</v>
      </c>
      <c r="L5" s="3" t="str">
        <f t="shared" si="1"/>
        <v>98D3D2-003113</v>
      </c>
      <c r="M5" s="3" t="str">
        <f t="shared" si="2"/>
        <v>98D3D2003113</v>
      </c>
      <c r="N5" s="3">
        <v>260227</v>
      </c>
      <c r="O5" s="3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24548571&amp;260227&amp;12563&amp;98D3D2-003113&amp;B02</v>
      </c>
      <c r="P5" s="3"/>
      <c r="Q5" s="3" t="b">
        <f>EXACT(Tabelle1[[#This Row],[DMC Kamera SOLL:]],Tabelle1[[#This Row],[DMC Kamera IST:]])</f>
        <v>0</v>
      </c>
      <c r="R5" s="3" t="str">
        <f>"mac_address="&amp;Tabelle1[[#This Row],[MAC 2:]]&amp;"serial_nb=000"&amp;Tabelle1[[#This Row],[SNr.:]]&amp;"device_type="&amp;Tabelle1[[#This Row],[Devicetype:]]</f>
        <v>mac_address=98D3D2003113serial_nb=00012563device_type=rcam_2</v>
      </c>
      <c r="S5" s="3"/>
      <c r="T5" s="5" t="b">
        <f>EXACT(Tabelle1[[#This Row],[Configuration String aus SOME/IP-SD SOLL:]],Tabelle1[[#This Row],[Configuration String aus SOME/IP-SD IST:]])</f>
        <v>0</v>
      </c>
      <c r="U5" s="5" t="str">
        <f>Tabelle1[[#This Row],[snpn:]]&amp;"000"&amp;Tabelle1[[#This Row],[SNr.:]]&amp;LOWER(Tabelle1[[#This Row],[MAC 2:]])</f>
        <v>42245485710001256398d3d2003113</v>
      </c>
      <c r="V5" s="5"/>
      <c r="W5" s="5" t="b">
        <f>EXACT(Tabelle1[[#This Row],[Payload getCamIdentifikation (Wireshark) SOLL:]],Tabelle1[[#This Row],[Payload getCamIdentifikation (Wireshark) IST:]])</f>
        <v>0</v>
      </c>
      <c r="X5" s="6"/>
      <c r="Y5" s="6"/>
      <c r="Z5" s="6"/>
      <c r="AA5" s="9"/>
    </row>
    <row r="6" spans="1:27" x14ac:dyDescent="0.2">
      <c r="A6" s="3">
        <f t="shared" si="0"/>
        <v>5</v>
      </c>
      <c r="B6" s="1" t="s">
        <v>36</v>
      </c>
      <c r="C6" t="s">
        <v>34</v>
      </c>
      <c r="D6" s="3" t="s">
        <v>31</v>
      </c>
      <c r="E6">
        <v>24570242</v>
      </c>
      <c r="F6">
        <v>24548571</v>
      </c>
      <c r="G6" t="s">
        <v>0</v>
      </c>
      <c r="H6" t="s">
        <v>33</v>
      </c>
      <c r="I6" s="11">
        <v>4224548571</v>
      </c>
      <c r="J6" t="s">
        <v>32</v>
      </c>
      <c r="K6">
        <v>12564</v>
      </c>
      <c r="L6" s="3" t="str">
        <f t="shared" si="1"/>
        <v>98D3D2-003114</v>
      </c>
      <c r="M6" s="3" t="str">
        <f t="shared" si="2"/>
        <v>98D3D2003114</v>
      </c>
      <c r="N6" s="3">
        <v>260227</v>
      </c>
      <c r="O6" s="3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24548571&amp;260227&amp;12564&amp;98D3D2-003114&amp;B02</v>
      </c>
      <c r="P6" s="3"/>
      <c r="Q6" s="3" t="b">
        <f>EXACT(Tabelle1[[#This Row],[DMC Kamera SOLL:]],Tabelle1[[#This Row],[DMC Kamera IST:]])</f>
        <v>0</v>
      </c>
      <c r="R6" s="3" t="str">
        <f>"mac_address="&amp;Tabelle1[[#This Row],[MAC 2:]]&amp;"serial_nb=000"&amp;Tabelle1[[#This Row],[SNr.:]]&amp;"device_type="&amp;Tabelle1[[#This Row],[Devicetype:]]</f>
        <v>mac_address=98D3D2003114serial_nb=00012564device_type=rcam_2</v>
      </c>
      <c r="S6" s="3"/>
      <c r="T6" s="5" t="b">
        <f>EXACT(Tabelle1[[#This Row],[Configuration String aus SOME/IP-SD SOLL:]],Tabelle1[[#This Row],[Configuration String aus SOME/IP-SD IST:]])</f>
        <v>0</v>
      </c>
      <c r="U6" s="5" t="str">
        <f>Tabelle1[[#This Row],[snpn:]]&amp;"000"&amp;Tabelle1[[#This Row],[SNr.:]]&amp;LOWER(Tabelle1[[#This Row],[MAC 2:]])</f>
        <v>42245485710001256498d3d2003114</v>
      </c>
      <c r="V6" s="5"/>
      <c r="W6" s="5" t="b">
        <f>EXACT(Tabelle1[[#This Row],[Payload getCamIdentifikation (Wireshark) SOLL:]],Tabelle1[[#This Row],[Payload getCamIdentifikation (Wireshark) IST:]])</f>
        <v>0</v>
      </c>
      <c r="X6" s="6"/>
      <c r="Y6" s="6"/>
      <c r="Z6" s="6"/>
      <c r="AA6" s="9"/>
    </row>
    <row r="7" spans="1:27" x14ac:dyDescent="0.2">
      <c r="A7" s="3">
        <f t="shared" si="0"/>
        <v>6</v>
      </c>
      <c r="B7" s="1" t="s">
        <v>36</v>
      </c>
      <c r="C7" t="s">
        <v>34</v>
      </c>
      <c r="D7" s="3" t="s">
        <v>31</v>
      </c>
      <c r="E7">
        <v>24570242</v>
      </c>
      <c r="F7">
        <v>24548571</v>
      </c>
      <c r="G7" t="s">
        <v>0</v>
      </c>
      <c r="H7" t="s">
        <v>33</v>
      </c>
      <c r="I7" s="11">
        <v>4224548571</v>
      </c>
      <c r="J7" t="s">
        <v>32</v>
      </c>
      <c r="K7">
        <v>12565</v>
      </c>
      <c r="L7" s="3" t="str">
        <f t="shared" si="1"/>
        <v>98D3D2-003115</v>
      </c>
      <c r="M7" s="3" t="str">
        <f t="shared" si="2"/>
        <v>98D3D2003115</v>
      </c>
      <c r="N7" s="3">
        <v>260227</v>
      </c>
      <c r="O7" s="3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24548571&amp;260227&amp;12565&amp;98D3D2-003115&amp;B02</v>
      </c>
      <c r="P7" s="3"/>
      <c r="Q7" s="3" t="b">
        <f>EXACT(Tabelle1[[#This Row],[DMC Kamera SOLL:]],Tabelle1[[#This Row],[DMC Kamera IST:]])</f>
        <v>0</v>
      </c>
      <c r="R7" s="3" t="str">
        <f>"mac_address="&amp;Tabelle1[[#This Row],[MAC 2:]]&amp;"serial_nb=000"&amp;Tabelle1[[#This Row],[SNr.:]]&amp;"device_type="&amp;Tabelle1[[#This Row],[Devicetype:]]</f>
        <v>mac_address=98D3D2003115serial_nb=00012565device_type=rcam_2</v>
      </c>
      <c r="S7" s="3"/>
      <c r="T7" s="5" t="b">
        <f>EXACT(Tabelle1[[#This Row],[Configuration String aus SOME/IP-SD SOLL:]],Tabelle1[[#This Row],[Configuration String aus SOME/IP-SD IST:]])</f>
        <v>0</v>
      </c>
      <c r="U7" s="5" t="str">
        <f>Tabelle1[[#This Row],[snpn:]]&amp;"000"&amp;Tabelle1[[#This Row],[SNr.:]]&amp;LOWER(Tabelle1[[#This Row],[MAC 2:]])</f>
        <v>42245485710001256598d3d2003115</v>
      </c>
      <c r="V7" s="5"/>
      <c r="W7" s="5" t="b">
        <f>EXACT(Tabelle1[[#This Row],[Payload getCamIdentifikation (Wireshark) SOLL:]],Tabelle1[[#This Row],[Payload getCamIdentifikation (Wireshark) IST:]])</f>
        <v>0</v>
      </c>
      <c r="X7" s="6"/>
      <c r="Y7" s="6"/>
      <c r="Z7" s="6"/>
      <c r="AA7" s="9"/>
    </row>
    <row r="8" spans="1:27" x14ac:dyDescent="0.2">
      <c r="A8" s="11">
        <f t="shared" ref="A8:A35" si="3">ROW()-1</f>
        <v>7</v>
      </c>
      <c r="B8" s="1" t="s">
        <v>36</v>
      </c>
      <c r="C8" t="s">
        <v>34</v>
      </c>
      <c r="D8" s="3" t="s">
        <v>31</v>
      </c>
      <c r="E8">
        <v>24570242</v>
      </c>
      <c r="F8">
        <v>24548571</v>
      </c>
      <c r="G8" t="s">
        <v>0</v>
      </c>
      <c r="H8" t="s">
        <v>33</v>
      </c>
      <c r="I8" s="11">
        <v>4224548571</v>
      </c>
      <c r="J8" t="s">
        <v>32</v>
      </c>
      <c r="K8">
        <v>12566</v>
      </c>
      <c r="L8" s="12" t="str">
        <f t="shared" ref="L8:L35" si="4">"98D3D2-00"&amp;DEC2HEX(K8)</f>
        <v>98D3D2-003116</v>
      </c>
      <c r="M8" s="11" t="str">
        <f t="shared" ref="M8:M35" si="5">"98D3D200"&amp;DEC2HEX(K8)</f>
        <v>98D3D2003116</v>
      </c>
      <c r="N8" s="3">
        <v>260227</v>
      </c>
      <c r="O8" s="11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24548571&amp;260227&amp;12566&amp;98D3D2-003116&amp;B02</v>
      </c>
      <c r="P8" s="12"/>
      <c r="Q8" s="11" t="b">
        <f>EXACT(Tabelle1[[#This Row],[DMC Kamera SOLL:]],Tabelle1[[#This Row],[DMC Kamera IST:]])</f>
        <v>0</v>
      </c>
      <c r="R8" s="11" t="str">
        <f>"mac_address="&amp;Tabelle1[[#This Row],[MAC 2:]]&amp;"serial_nb=000"&amp;Tabelle1[[#This Row],[SNr.:]]&amp;"device_type="&amp;Tabelle1[[#This Row],[Devicetype:]]</f>
        <v>mac_address=98D3D2003116serial_nb=00012566device_type=rcam_2</v>
      </c>
      <c r="S8" s="12"/>
      <c r="T8" s="11" t="b">
        <f>EXACT(Tabelle1[[#This Row],[Configuration String aus SOME/IP-SD SOLL:]],Tabelle1[[#This Row],[Configuration String aus SOME/IP-SD IST:]])</f>
        <v>0</v>
      </c>
      <c r="U8" s="11" t="str">
        <f>Tabelle1[[#This Row],[snpn:]]&amp;"000"&amp;Tabelle1[[#This Row],[SNr.:]]&amp;LOWER(Tabelle1[[#This Row],[MAC 2:]])</f>
        <v>42245485710001256698d3d2003116</v>
      </c>
      <c r="V8" s="11"/>
      <c r="W8" s="11" t="b">
        <f>EXACT(Tabelle1[[#This Row],[Payload getCamIdentifikation (Wireshark) SOLL:]],Tabelle1[[#This Row],[Payload getCamIdentifikation (Wireshark) IST:]])</f>
        <v>0</v>
      </c>
      <c r="X8" s="11"/>
      <c r="Y8" s="11"/>
      <c r="Z8" s="11"/>
      <c r="AA8" s="11"/>
    </row>
    <row r="9" spans="1:27" x14ac:dyDescent="0.2">
      <c r="A9" s="11">
        <f t="shared" si="3"/>
        <v>8</v>
      </c>
      <c r="B9" s="1" t="s">
        <v>36</v>
      </c>
      <c r="C9" t="s">
        <v>34</v>
      </c>
      <c r="D9" s="3" t="s">
        <v>31</v>
      </c>
      <c r="E9">
        <v>24570242</v>
      </c>
      <c r="F9">
        <v>24548571</v>
      </c>
      <c r="G9" t="s">
        <v>0</v>
      </c>
      <c r="H9" t="s">
        <v>33</v>
      </c>
      <c r="I9" s="11">
        <v>4224548571</v>
      </c>
      <c r="J9" t="s">
        <v>32</v>
      </c>
      <c r="K9">
        <v>12567</v>
      </c>
      <c r="L9" s="12" t="str">
        <f t="shared" si="4"/>
        <v>98D3D2-003117</v>
      </c>
      <c r="M9" s="11" t="str">
        <f t="shared" si="5"/>
        <v>98D3D2003117</v>
      </c>
      <c r="N9" s="3">
        <v>260227</v>
      </c>
      <c r="O9" s="11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24548571&amp;260227&amp;12567&amp;98D3D2-003117&amp;B02</v>
      </c>
      <c r="P9" s="12"/>
      <c r="Q9" s="11" t="b">
        <f>EXACT(Tabelle1[[#This Row],[DMC Kamera SOLL:]],Tabelle1[[#This Row],[DMC Kamera IST:]])</f>
        <v>0</v>
      </c>
      <c r="R9" s="11" t="str">
        <f>"mac_address="&amp;Tabelle1[[#This Row],[MAC 2:]]&amp;"serial_nb=000"&amp;Tabelle1[[#This Row],[SNr.:]]&amp;"device_type="&amp;Tabelle1[[#This Row],[Devicetype:]]</f>
        <v>mac_address=98D3D2003117serial_nb=00012567device_type=rcam_2</v>
      </c>
      <c r="S9" s="12"/>
      <c r="T9" s="11" t="b">
        <f>EXACT(Tabelle1[[#This Row],[Configuration String aus SOME/IP-SD SOLL:]],Tabelle1[[#This Row],[Configuration String aus SOME/IP-SD IST:]])</f>
        <v>0</v>
      </c>
      <c r="U9" s="11" t="str">
        <f>Tabelle1[[#This Row],[snpn:]]&amp;"000"&amp;Tabelle1[[#This Row],[SNr.:]]&amp;LOWER(Tabelle1[[#This Row],[MAC 2:]])</f>
        <v>42245485710001256798d3d2003117</v>
      </c>
      <c r="V9" s="11"/>
      <c r="W9" s="11" t="b">
        <f>EXACT(Tabelle1[[#This Row],[Payload getCamIdentifikation (Wireshark) SOLL:]],Tabelle1[[#This Row],[Payload getCamIdentifikation (Wireshark) IST:]])</f>
        <v>0</v>
      </c>
      <c r="X9" s="11"/>
      <c r="Y9" s="11"/>
      <c r="Z9" s="11"/>
      <c r="AA9" s="11"/>
    </row>
    <row r="10" spans="1:27" x14ac:dyDescent="0.2">
      <c r="A10" s="11">
        <f t="shared" si="3"/>
        <v>9</v>
      </c>
      <c r="B10" s="1" t="s">
        <v>36</v>
      </c>
      <c r="C10" t="s">
        <v>34</v>
      </c>
      <c r="D10" s="3" t="s">
        <v>31</v>
      </c>
      <c r="E10">
        <v>24570242</v>
      </c>
      <c r="F10">
        <v>24548571</v>
      </c>
      <c r="G10" t="s">
        <v>0</v>
      </c>
      <c r="H10" t="s">
        <v>33</v>
      </c>
      <c r="I10" s="11">
        <v>4224548571</v>
      </c>
      <c r="J10" t="s">
        <v>32</v>
      </c>
      <c r="K10">
        <v>12568</v>
      </c>
      <c r="L10" s="12" t="str">
        <f t="shared" si="4"/>
        <v>98D3D2-003118</v>
      </c>
      <c r="M10" s="11" t="str">
        <f t="shared" si="5"/>
        <v>98D3D2003118</v>
      </c>
      <c r="N10" s="3">
        <v>260227</v>
      </c>
      <c r="O10" s="11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24548571&amp;260227&amp;12568&amp;98D3D2-003118&amp;B02</v>
      </c>
      <c r="P10" s="12"/>
      <c r="Q10" s="11" t="b">
        <f>EXACT(Tabelle1[[#This Row],[DMC Kamera SOLL:]],Tabelle1[[#This Row],[DMC Kamera IST:]])</f>
        <v>0</v>
      </c>
      <c r="R10" s="11" t="str">
        <f>"mac_address="&amp;Tabelle1[[#This Row],[MAC 2:]]&amp;"serial_nb=000"&amp;Tabelle1[[#This Row],[SNr.:]]&amp;"device_type="&amp;Tabelle1[[#This Row],[Devicetype:]]</f>
        <v>mac_address=98D3D2003118serial_nb=00012568device_type=rcam_2</v>
      </c>
      <c r="S10" s="12"/>
      <c r="T10" s="11" t="b">
        <f>EXACT(Tabelle1[[#This Row],[Configuration String aus SOME/IP-SD SOLL:]],Tabelle1[[#This Row],[Configuration String aus SOME/IP-SD IST:]])</f>
        <v>0</v>
      </c>
      <c r="U10" s="11" t="str">
        <f>Tabelle1[[#This Row],[snpn:]]&amp;"000"&amp;Tabelle1[[#This Row],[SNr.:]]&amp;LOWER(Tabelle1[[#This Row],[MAC 2:]])</f>
        <v>42245485710001256898d3d2003118</v>
      </c>
      <c r="V10" s="11"/>
      <c r="W10" s="11" t="b">
        <f>EXACT(Tabelle1[[#This Row],[Payload getCamIdentifikation (Wireshark) SOLL:]],Tabelle1[[#This Row],[Payload getCamIdentifikation (Wireshark) IST:]])</f>
        <v>0</v>
      </c>
      <c r="X10" s="11"/>
      <c r="Y10" s="11"/>
      <c r="Z10" s="11"/>
      <c r="AA10" s="11"/>
    </row>
    <row r="11" spans="1:27" x14ac:dyDescent="0.2">
      <c r="A11" s="11">
        <f t="shared" si="3"/>
        <v>10</v>
      </c>
      <c r="B11" s="1" t="s">
        <v>36</v>
      </c>
      <c r="C11" t="s">
        <v>34</v>
      </c>
      <c r="D11" s="3" t="s">
        <v>31</v>
      </c>
      <c r="E11">
        <v>24570242</v>
      </c>
      <c r="F11">
        <v>24548571</v>
      </c>
      <c r="G11" t="s">
        <v>0</v>
      </c>
      <c r="H11" t="s">
        <v>33</v>
      </c>
      <c r="I11" s="11">
        <v>4224548571</v>
      </c>
      <c r="J11" t="s">
        <v>32</v>
      </c>
      <c r="K11">
        <v>12569</v>
      </c>
      <c r="L11" s="12" t="str">
        <f t="shared" si="4"/>
        <v>98D3D2-003119</v>
      </c>
      <c r="M11" s="11" t="str">
        <f t="shared" si="5"/>
        <v>98D3D2003119</v>
      </c>
      <c r="N11" s="3">
        <v>260227</v>
      </c>
      <c r="O11" s="11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24548571&amp;260227&amp;12569&amp;98D3D2-003119&amp;B02</v>
      </c>
      <c r="P11" s="12"/>
      <c r="Q11" s="11" t="b">
        <f>EXACT(Tabelle1[[#This Row],[DMC Kamera SOLL:]],Tabelle1[[#This Row],[DMC Kamera IST:]])</f>
        <v>0</v>
      </c>
      <c r="R11" s="11" t="str">
        <f>"mac_address="&amp;Tabelle1[[#This Row],[MAC 2:]]&amp;"serial_nb=000"&amp;Tabelle1[[#This Row],[SNr.:]]&amp;"device_type="&amp;Tabelle1[[#This Row],[Devicetype:]]</f>
        <v>mac_address=98D3D2003119serial_nb=00012569device_type=rcam_2</v>
      </c>
      <c r="S11" s="12"/>
      <c r="T11" s="11" t="b">
        <f>EXACT(Tabelle1[[#This Row],[Configuration String aus SOME/IP-SD SOLL:]],Tabelle1[[#This Row],[Configuration String aus SOME/IP-SD IST:]])</f>
        <v>0</v>
      </c>
      <c r="U11" s="11" t="str">
        <f>Tabelle1[[#This Row],[snpn:]]&amp;"000"&amp;Tabelle1[[#This Row],[SNr.:]]&amp;LOWER(Tabelle1[[#This Row],[MAC 2:]])</f>
        <v>42245485710001256998d3d2003119</v>
      </c>
      <c r="V11" s="11"/>
      <c r="W11" s="11" t="b">
        <f>EXACT(Tabelle1[[#This Row],[Payload getCamIdentifikation (Wireshark) SOLL:]],Tabelle1[[#This Row],[Payload getCamIdentifikation (Wireshark) IST:]])</f>
        <v>0</v>
      </c>
      <c r="X11" s="11"/>
      <c r="Y11" s="11"/>
      <c r="Z11" s="11"/>
      <c r="AA11" s="11"/>
    </row>
    <row r="12" spans="1:27" x14ac:dyDescent="0.2">
      <c r="A12" s="11">
        <f t="shared" si="3"/>
        <v>11</v>
      </c>
      <c r="B12" s="1" t="s">
        <v>36</v>
      </c>
      <c r="C12" t="s">
        <v>34</v>
      </c>
      <c r="D12" s="3" t="s">
        <v>31</v>
      </c>
      <c r="E12">
        <v>24570242</v>
      </c>
      <c r="F12">
        <v>24548571</v>
      </c>
      <c r="G12" t="s">
        <v>0</v>
      </c>
      <c r="H12" t="s">
        <v>33</v>
      </c>
      <c r="I12" s="11">
        <v>4224548571</v>
      </c>
      <c r="J12" t="s">
        <v>32</v>
      </c>
      <c r="K12">
        <v>12570</v>
      </c>
      <c r="L12" s="12" t="str">
        <f t="shared" si="4"/>
        <v>98D3D2-00311A</v>
      </c>
      <c r="M12" s="11" t="str">
        <f t="shared" si="5"/>
        <v>98D3D200311A</v>
      </c>
      <c r="N12" s="3">
        <v>260227</v>
      </c>
      <c r="O12" s="11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24548571&amp;260227&amp;12570&amp;98D3D2-00311A&amp;B02</v>
      </c>
      <c r="P12" s="12"/>
      <c r="Q12" s="11" t="b">
        <f>EXACT(Tabelle1[[#This Row],[DMC Kamera SOLL:]],Tabelle1[[#This Row],[DMC Kamera IST:]])</f>
        <v>0</v>
      </c>
      <c r="R12" s="11" t="str">
        <f>"mac_address="&amp;Tabelle1[[#This Row],[MAC 2:]]&amp;"serial_nb=000"&amp;Tabelle1[[#This Row],[SNr.:]]&amp;"device_type="&amp;Tabelle1[[#This Row],[Devicetype:]]</f>
        <v>mac_address=98D3D200311Aserial_nb=00012570device_type=rcam_2</v>
      </c>
      <c r="S12" s="12"/>
      <c r="T12" s="11" t="b">
        <f>EXACT(Tabelle1[[#This Row],[Configuration String aus SOME/IP-SD SOLL:]],Tabelle1[[#This Row],[Configuration String aus SOME/IP-SD IST:]])</f>
        <v>0</v>
      </c>
      <c r="U12" s="11" t="str">
        <f>Tabelle1[[#This Row],[snpn:]]&amp;"000"&amp;Tabelle1[[#This Row],[SNr.:]]&amp;LOWER(Tabelle1[[#This Row],[MAC 2:]])</f>
        <v>42245485710001257098d3d200311a</v>
      </c>
      <c r="V12" s="11"/>
      <c r="W12" s="11" t="b">
        <f>EXACT(Tabelle1[[#This Row],[Payload getCamIdentifikation (Wireshark) SOLL:]],Tabelle1[[#This Row],[Payload getCamIdentifikation (Wireshark) IST:]])</f>
        <v>0</v>
      </c>
      <c r="X12" s="11"/>
      <c r="Y12" s="11"/>
      <c r="Z12" s="11"/>
      <c r="AA12" s="11"/>
    </row>
    <row r="13" spans="1:27" x14ac:dyDescent="0.2">
      <c r="A13" s="11">
        <f t="shared" si="3"/>
        <v>12</v>
      </c>
      <c r="B13" s="1" t="s">
        <v>36</v>
      </c>
      <c r="C13" t="s">
        <v>34</v>
      </c>
      <c r="D13" s="3" t="s">
        <v>31</v>
      </c>
      <c r="E13">
        <v>24570242</v>
      </c>
      <c r="F13">
        <v>24548571</v>
      </c>
      <c r="G13" t="s">
        <v>0</v>
      </c>
      <c r="H13" t="s">
        <v>33</v>
      </c>
      <c r="I13" s="11">
        <v>4224548571</v>
      </c>
      <c r="J13" t="s">
        <v>32</v>
      </c>
      <c r="K13">
        <v>12571</v>
      </c>
      <c r="L13" s="12" t="str">
        <f t="shared" si="4"/>
        <v>98D3D2-00311B</v>
      </c>
      <c r="M13" s="11" t="str">
        <f t="shared" si="5"/>
        <v>98D3D200311B</v>
      </c>
      <c r="N13" s="3">
        <v>260227</v>
      </c>
      <c r="O13" s="11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24548571&amp;260227&amp;12571&amp;98D3D2-00311B&amp;B02</v>
      </c>
      <c r="P13" s="12"/>
      <c r="Q13" s="11" t="b">
        <f>EXACT(Tabelle1[[#This Row],[DMC Kamera SOLL:]],Tabelle1[[#This Row],[DMC Kamera IST:]])</f>
        <v>0</v>
      </c>
      <c r="R13" s="11" t="str">
        <f>"mac_address="&amp;Tabelle1[[#This Row],[MAC 2:]]&amp;"serial_nb=000"&amp;Tabelle1[[#This Row],[SNr.:]]&amp;"device_type="&amp;Tabelle1[[#This Row],[Devicetype:]]</f>
        <v>mac_address=98D3D200311Bserial_nb=00012571device_type=rcam_2</v>
      </c>
      <c r="S13" s="12"/>
      <c r="T13" s="11" t="b">
        <f>EXACT(Tabelle1[[#This Row],[Configuration String aus SOME/IP-SD SOLL:]],Tabelle1[[#This Row],[Configuration String aus SOME/IP-SD IST:]])</f>
        <v>0</v>
      </c>
      <c r="U13" s="11" t="str">
        <f>Tabelle1[[#This Row],[snpn:]]&amp;"000"&amp;Tabelle1[[#This Row],[SNr.:]]&amp;LOWER(Tabelle1[[#This Row],[MAC 2:]])</f>
        <v>42245485710001257198d3d200311b</v>
      </c>
      <c r="V13" s="11"/>
      <c r="W13" s="11" t="b">
        <f>EXACT(Tabelle1[[#This Row],[Payload getCamIdentifikation (Wireshark) SOLL:]],Tabelle1[[#This Row],[Payload getCamIdentifikation (Wireshark) IST:]])</f>
        <v>0</v>
      </c>
      <c r="X13" s="11"/>
      <c r="Y13" s="11"/>
      <c r="Z13" s="11"/>
      <c r="AA13" s="11"/>
    </row>
    <row r="14" spans="1:27" x14ac:dyDescent="0.2">
      <c r="A14" s="11">
        <f t="shared" si="3"/>
        <v>13</v>
      </c>
      <c r="B14" s="1" t="s">
        <v>37</v>
      </c>
      <c r="C14" t="s">
        <v>35</v>
      </c>
      <c r="D14" s="3" t="s">
        <v>31</v>
      </c>
      <c r="E14">
        <v>24570238</v>
      </c>
      <c r="F14">
        <v>24548571</v>
      </c>
      <c r="G14" t="s">
        <v>0</v>
      </c>
      <c r="H14" t="s">
        <v>33</v>
      </c>
      <c r="I14" s="11">
        <v>4224548571</v>
      </c>
      <c r="J14" t="s">
        <v>32</v>
      </c>
      <c r="K14">
        <v>12572</v>
      </c>
      <c r="L14" s="12" t="str">
        <f t="shared" si="4"/>
        <v>98D3D2-00311C</v>
      </c>
      <c r="M14" s="11" t="str">
        <f t="shared" si="5"/>
        <v>98D3D200311C</v>
      </c>
      <c r="N14" s="3">
        <v>260227</v>
      </c>
      <c r="O14" s="11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24548571&amp;260227&amp;12572&amp;98D3D2-00311C&amp;B02</v>
      </c>
      <c r="P14" s="12"/>
      <c r="Q14" s="11" t="b">
        <f>EXACT(Tabelle1[[#This Row],[DMC Kamera SOLL:]],Tabelle1[[#This Row],[DMC Kamera IST:]])</f>
        <v>0</v>
      </c>
      <c r="R14" s="11" t="str">
        <f>"mac_address="&amp;Tabelle1[[#This Row],[MAC 2:]]&amp;"serial_nb=000"&amp;Tabelle1[[#This Row],[SNr.:]]&amp;"device_type="&amp;Tabelle1[[#This Row],[Devicetype:]]</f>
        <v>mac_address=98D3D200311Cserial_nb=00012572device_type=rcam_2</v>
      </c>
      <c r="S14" s="12"/>
      <c r="T14" s="11" t="b">
        <f>EXACT(Tabelle1[[#This Row],[Configuration String aus SOME/IP-SD SOLL:]],Tabelle1[[#This Row],[Configuration String aus SOME/IP-SD IST:]])</f>
        <v>0</v>
      </c>
      <c r="U14" s="11" t="str">
        <f>Tabelle1[[#This Row],[snpn:]]&amp;"000"&amp;Tabelle1[[#This Row],[SNr.:]]&amp;LOWER(Tabelle1[[#This Row],[MAC 2:]])</f>
        <v>42245485710001257298d3d200311c</v>
      </c>
      <c r="V14" s="11"/>
      <c r="W14" s="11" t="b">
        <f>EXACT(Tabelle1[[#This Row],[Payload getCamIdentifikation (Wireshark) SOLL:]],Tabelle1[[#This Row],[Payload getCamIdentifikation (Wireshark) IST:]])</f>
        <v>0</v>
      </c>
      <c r="X14" s="11"/>
      <c r="Y14" s="11"/>
      <c r="Z14" s="11"/>
      <c r="AA14" s="11"/>
    </row>
    <row r="15" spans="1:27" x14ac:dyDescent="0.2">
      <c r="A15" s="11">
        <f t="shared" si="3"/>
        <v>14</v>
      </c>
      <c r="B15" s="1" t="s">
        <v>37</v>
      </c>
      <c r="C15" t="s">
        <v>35</v>
      </c>
      <c r="D15" s="3" t="s">
        <v>31</v>
      </c>
      <c r="E15">
        <v>24570238</v>
      </c>
      <c r="F15">
        <v>24548571</v>
      </c>
      <c r="G15" t="s">
        <v>0</v>
      </c>
      <c r="H15" t="s">
        <v>33</v>
      </c>
      <c r="I15" s="11">
        <v>4224548571</v>
      </c>
      <c r="J15" t="s">
        <v>32</v>
      </c>
      <c r="K15">
        <v>12573</v>
      </c>
      <c r="L15" s="12" t="str">
        <f t="shared" si="4"/>
        <v>98D3D2-00311D</v>
      </c>
      <c r="M15" s="11" t="str">
        <f t="shared" si="5"/>
        <v>98D3D200311D</v>
      </c>
      <c r="N15" s="3">
        <v>260227</v>
      </c>
      <c r="O15" s="11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24548571&amp;260227&amp;12573&amp;98D3D2-00311D&amp;B02</v>
      </c>
      <c r="P15" s="12"/>
      <c r="Q15" s="11" t="b">
        <f>EXACT(Tabelle1[[#This Row],[DMC Kamera SOLL:]],Tabelle1[[#This Row],[DMC Kamera IST:]])</f>
        <v>0</v>
      </c>
      <c r="R15" s="11" t="str">
        <f>"mac_address="&amp;Tabelle1[[#This Row],[MAC 2:]]&amp;"serial_nb=000"&amp;Tabelle1[[#This Row],[SNr.:]]&amp;"device_type="&amp;Tabelle1[[#This Row],[Devicetype:]]</f>
        <v>mac_address=98D3D200311Dserial_nb=00012573device_type=rcam_2</v>
      </c>
      <c r="S15" s="12"/>
      <c r="T15" s="11" t="b">
        <f>EXACT(Tabelle1[[#This Row],[Configuration String aus SOME/IP-SD SOLL:]],Tabelle1[[#This Row],[Configuration String aus SOME/IP-SD IST:]])</f>
        <v>0</v>
      </c>
      <c r="U15" s="11" t="str">
        <f>Tabelle1[[#This Row],[snpn:]]&amp;"000"&amp;Tabelle1[[#This Row],[SNr.:]]&amp;LOWER(Tabelle1[[#This Row],[MAC 2:]])</f>
        <v>42245485710001257398d3d200311d</v>
      </c>
      <c r="V15" s="11"/>
      <c r="W15" s="11" t="b">
        <f>EXACT(Tabelle1[[#This Row],[Payload getCamIdentifikation (Wireshark) SOLL:]],Tabelle1[[#This Row],[Payload getCamIdentifikation (Wireshark) IST:]])</f>
        <v>0</v>
      </c>
      <c r="X15" s="11"/>
      <c r="Y15" s="11"/>
      <c r="Z15" s="11"/>
      <c r="AA15" s="11"/>
    </row>
    <row r="16" spans="1:27" x14ac:dyDescent="0.2">
      <c r="A16" s="11">
        <f t="shared" si="3"/>
        <v>15</v>
      </c>
      <c r="B16" s="1" t="s">
        <v>37</v>
      </c>
      <c r="C16" t="s">
        <v>35</v>
      </c>
      <c r="D16" s="3" t="s">
        <v>31</v>
      </c>
      <c r="E16">
        <v>24570238</v>
      </c>
      <c r="F16">
        <v>24548571</v>
      </c>
      <c r="G16" t="s">
        <v>0</v>
      </c>
      <c r="H16" t="s">
        <v>33</v>
      </c>
      <c r="I16" s="11">
        <v>4224548571</v>
      </c>
      <c r="J16" t="s">
        <v>32</v>
      </c>
      <c r="K16">
        <v>12574</v>
      </c>
      <c r="L16" s="12" t="str">
        <f t="shared" si="4"/>
        <v>98D3D2-00311E</v>
      </c>
      <c r="M16" s="11" t="str">
        <f t="shared" si="5"/>
        <v>98D3D200311E</v>
      </c>
      <c r="N16" s="3">
        <v>260227</v>
      </c>
      <c r="O16" s="11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24548571&amp;260227&amp;12574&amp;98D3D2-00311E&amp;B02</v>
      </c>
      <c r="P16" s="12"/>
      <c r="Q16" s="11" t="b">
        <f>EXACT(Tabelle1[[#This Row],[DMC Kamera SOLL:]],Tabelle1[[#This Row],[DMC Kamera IST:]])</f>
        <v>0</v>
      </c>
      <c r="R16" s="11" t="str">
        <f>"mac_address="&amp;Tabelle1[[#This Row],[MAC 2:]]&amp;"serial_nb=000"&amp;Tabelle1[[#This Row],[SNr.:]]&amp;"device_type="&amp;Tabelle1[[#This Row],[Devicetype:]]</f>
        <v>mac_address=98D3D200311Eserial_nb=00012574device_type=rcam_2</v>
      </c>
      <c r="S16" s="12"/>
      <c r="T16" s="11" t="b">
        <f>EXACT(Tabelle1[[#This Row],[Configuration String aus SOME/IP-SD SOLL:]],Tabelle1[[#This Row],[Configuration String aus SOME/IP-SD IST:]])</f>
        <v>0</v>
      </c>
      <c r="U16" s="11" t="str">
        <f>Tabelle1[[#This Row],[snpn:]]&amp;"000"&amp;Tabelle1[[#This Row],[SNr.:]]&amp;LOWER(Tabelle1[[#This Row],[MAC 2:]])</f>
        <v>42245485710001257498d3d200311e</v>
      </c>
      <c r="V16" s="11"/>
      <c r="W16" s="11" t="b">
        <f>EXACT(Tabelle1[[#This Row],[Payload getCamIdentifikation (Wireshark) SOLL:]],Tabelle1[[#This Row],[Payload getCamIdentifikation (Wireshark) IST:]])</f>
        <v>0</v>
      </c>
      <c r="X16" s="11"/>
      <c r="Y16" s="11"/>
      <c r="Z16" s="11"/>
      <c r="AA16" s="11"/>
    </row>
    <row r="17" spans="1:27" x14ac:dyDescent="0.2">
      <c r="A17" s="11">
        <f t="shared" si="3"/>
        <v>16</v>
      </c>
      <c r="B17" s="1" t="s">
        <v>37</v>
      </c>
      <c r="C17" t="s">
        <v>35</v>
      </c>
      <c r="D17" s="3" t="s">
        <v>31</v>
      </c>
      <c r="E17">
        <v>24570238</v>
      </c>
      <c r="F17">
        <v>24548571</v>
      </c>
      <c r="G17" t="s">
        <v>0</v>
      </c>
      <c r="H17" t="s">
        <v>33</v>
      </c>
      <c r="I17" s="11">
        <v>4224548571</v>
      </c>
      <c r="J17" t="s">
        <v>32</v>
      </c>
      <c r="K17">
        <v>12575</v>
      </c>
      <c r="L17" s="12" t="str">
        <f t="shared" si="4"/>
        <v>98D3D2-00311F</v>
      </c>
      <c r="M17" s="11" t="str">
        <f t="shared" si="5"/>
        <v>98D3D200311F</v>
      </c>
      <c r="N17" s="3">
        <v>260227</v>
      </c>
      <c r="O17" s="11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24548571&amp;260227&amp;12575&amp;98D3D2-00311F&amp;B02</v>
      </c>
      <c r="P17" s="12"/>
      <c r="Q17" s="11" t="b">
        <f>EXACT(Tabelle1[[#This Row],[DMC Kamera SOLL:]],Tabelle1[[#This Row],[DMC Kamera IST:]])</f>
        <v>0</v>
      </c>
      <c r="R17" s="11" t="str">
        <f>"mac_address="&amp;Tabelle1[[#This Row],[MAC 2:]]&amp;"serial_nb=000"&amp;Tabelle1[[#This Row],[SNr.:]]&amp;"device_type="&amp;Tabelle1[[#This Row],[Devicetype:]]</f>
        <v>mac_address=98D3D200311Fserial_nb=00012575device_type=rcam_2</v>
      </c>
      <c r="S17" s="12"/>
      <c r="T17" s="11" t="b">
        <f>EXACT(Tabelle1[[#This Row],[Configuration String aus SOME/IP-SD SOLL:]],Tabelle1[[#This Row],[Configuration String aus SOME/IP-SD IST:]])</f>
        <v>0</v>
      </c>
      <c r="U17" s="11" t="str">
        <f>Tabelle1[[#This Row],[snpn:]]&amp;"000"&amp;Tabelle1[[#This Row],[SNr.:]]&amp;LOWER(Tabelle1[[#This Row],[MAC 2:]])</f>
        <v>42245485710001257598d3d200311f</v>
      </c>
      <c r="V17" s="11"/>
      <c r="W17" s="11" t="b">
        <f>EXACT(Tabelle1[[#This Row],[Payload getCamIdentifikation (Wireshark) SOLL:]],Tabelle1[[#This Row],[Payload getCamIdentifikation (Wireshark) IST:]])</f>
        <v>0</v>
      </c>
      <c r="X17" s="11"/>
      <c r="Y17" s="11"/>
      <c r="Z17" s="11"/>
      <c r="AA17" s="11"/>
    </row>
    <row r="18" spans="1:27" x14ac:dyDescent="0.2">
      <c r="A18" s="11">
        <f t="shared" si="3"/>
        <v>17</v>
      </c>
      <c r="B18" s="1" t="s">
        <v>37</v>
      </c>
      <c r="C18" t="s">
        <v>35</v>
      </c>
      <c r="D18" s="3" t="s">
        <v>31</v>
      </c>
      <c r="E18">
        <v>24570238</v>
      </c>
      <c r="F18">
        <v>24548571</v>
      </c>
      <c r="G18" t="s">
        <v>0</v>
      </c>
      <c r="H18" t="s">
        <v>33</v>
      </c>
      <c r="I18" s="11">
        <v>4224548571</v>
      </c>
      <c r="J18" t="s">
        <v>32</v>
      </c>
      <c r="K18">
        <v>12576</v>
      </c>
      <c r="L18" s="12" t="str">
        <f t="shared" si="4"/>
        <v>98D3D2-003120</v>
      </c>
      <c r="M18" s="11" t="str">
        <f t="shared" si="5"/>
        <v>98D3D2003120</v>
      </c>
      <c r="N18" s="3">
        <v>260227</v>
      </c>
      <c r="O18" s="11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24548571&amp;260227&amp;12576&amp;98D3D2-003120&amp;B02</v>
      </c>
      <c r="P18" s="12"/>
      <c r="Q18" s="11" t="b">
        <f>EXACT(Tabelle1[[#This Row],[DMC Kamera SOLL:]],Tabelle1[[#This Row],[DMC Kamera IST:]])</f>
        <v>0</v>
      </c>
      <c r="R18" s="11" t="str">
        <f>"mac_address="&amp;Tabelle1[[#This Row],[MAC 2:]]&amp;"serial_nb=000"&amp;Tabelle1[[#This Row],[SNr.:]]&amp;"device_type="&amp;Tabelle1[[#This Row],[Devicetype:]]</f>
        <v>mac_address=98D3D2003120serial_nb=00012576device_type=rcam_2</v>
      </c>
      <c r="S18" s="12"/>
      <c r="T18" s="11" t="b">
        <f>EXACT(Tabelle1[[#This Row],[Configuration String aus SOME/IP-SD SOLL:]],Tabelle1[[#This Row],[Configuration String aus SOME/IP-SD IST:]])</f>
        <v>0</v>
      </c>
      <c r="U18" s="11" t="str">
        <f>Tabelle1[[#This Row],[snpn:]]&amp;"000"&amp;Tabelle1[[#This Row],[SNr.:]]&amp;LOWER(Tabelle1[[#This Row],[MAC 2:]])</f>
        <v>42245485710001257698d3d2003120</v>
      </c>
      <c r="V18" s="11"/>
      <c r="W18" s="11" t="b">
        <f>EXACT(Tabelle1[[#This Row],[Payload getCamIdentifikation (Wireshark) SOLL:]],Tabelle1[[#This Row],[Payload getCamIdentifikation (Wireshark) IST:]])</f>
        <v>0</v>
      </c>
      <c r="X18" s="11"/>
      <c r="Y18" s="11"/>
      <c r="Z18" s="11"/>
      <c r="AA18" s="11"/>
    </row>
    <row r="19" spans="1:27" x14ac:dyDescent="0.2">
      <c r="A19" s="11">
        <f t="shared" si="3"/>
        <v>18</v>
      </c>
      <c r="B19" s="1" t="s">
        <v>37</v>
      </c>
      <c r="C19" t="s">
        <v>35</v>
      </c>
      <c r="D19" s="3" t="s">
        <v>31</v>
      </c>
      <c r="E19">
        <v>24570238</v>
      </c>
      <c r="F19">
        <v>24548571</v>
      </c>
      <c r="G19" t="s">
        <v>0</v>
      </c>
      <c r="H19" t="s">
        <v>33</v>
      </c>
      <c r="I19" s="11">
        <v>4224548571</v>
      </c>
      <c r="J19" t="s">
        <v>32</v>
      </c>
      <c r="K19">
        <v>12577</v>
      </c>
      <c r="L19" s="12" t="str">
        <f t="shared" si="4"/>
        <v>98D3D2-003121</v>
      </c>
      <c r="M19" s="11" t="str">
        <f t="shared" si="5"/>
        <v>98D3D2003121</v>
      </c>
      <c r="N19" s="3">
        <v>260227</v>
      </c>
      <c r="O19" s="11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24548571&amp;260227&amp;12577&amp;98D3D2-003121&amp;B02</v>
      </c>
      <c r="P19" s="12"/>
      <c r="Q19" s="11" t="b">
        <f>EXACT(Tabelle1[[#This Row],[DMC Kamera SOLL:]],Tabelle1[[#This Row],[DMC Kamera IST:]])</f>
        <v>0</v>
      </c>
      <c r="R19" s="11" t="str">
        <f>"mac_address="&amp;Tabelle1[[#This Row],[MAC 2:]]&amp;"serial_nb=000"&amp;Tabelle1[[#This Row],[SNr.:]]&amp;"device_type="&amp;Tabelle1[[#This Row],[Devicetype:]]</f>
        <v>mac_address=98D3D2003121serial_nb=00012577device_type=rcam_2</v>
      </c>
      <c r="S19" s="12"/>
      <c r="T19" s="11" t="b">
        <f>EXACT(Tabelle1[[#This Row],[Configuration String aus SOME/IP-SD SOLL:]],Tabelle1[[#This Row],[Configuration String aus SOME/IP-SD IST:]])</f>
        <v>0</v>
      </c>
      <c r="U19" s="11" t="str">
        <f>Tabelle1[[#This Row],[snpn:]]&amp;"000"&amp;Tabelle1[[#This Row],[SNr.:]]&amp;LOWER(Tabelle1[[#This Row],[MAC 2:]])</f>
        <v>42245485710001257798d3d2003121</v>
      </c>
      <c r="V19" s="11"/>
      <c r="W19" s="11" t="b">
        <f>EXACT(Tabelle1[[#This Row],[Payload getCamIdentifikation (Wireshark) SOLL:]],Tabelle1[[#This Row],[Payload getCamIdentifikation (Wireshark) IST:]])</f>
        <v>0</v>
      </c>
      <c r="X19" s="11"/>
      <c r="Y19" s="11"/>
      <c r="Z19" s="11"/>
      <c r="AA19" s="11"/>
    </row>
    <row r="20" spans="1:27" x14ac:dyDescent="0.2">
      <c r="A20" s="11">
        <f t="shared" si="3"/>
        <v>19</v>
      </c>
      <c r="B20" s="1" t="s">
        <v>37</v>
      </c>
      <c r="C20" t="s">
        <v>35</v>
      </c>
      <c r="D20" s="3" t="s">
        <v>31</v>
      </c>
      <c r="E20">
        <v>24570238</v>
      </c>
      <c r="F20">
        <v>24548571</v>
      </c>
      <c r="G20" t="s">
        <v>0</v>
      </c>
      <c r="H20" t="s">
        <v>33</v>
      </c>
      <c r="I20" s="11">
        <v>4224548571</v>
      </c>
      <c r="J20" t="s">
        <v>32</v>
      </c>
      <c r="K20">
        <v>12578</v>
      </c>
      <c r="L20" s="12" t="str">
        <f t="shared" si="4"/>
        <v>98D3D2-003122</v>
      </c>
      <c r="M20" s="11" t="str">
        <f t="shared" si="5"/>
        <v>98D3D2003122</v>
      </c>
      <c r="N20" s="3">
        <v>260227</v>
      </c>
      <c r="O20" s="11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24548571&amp;260227&amp;12578&amp;98D3D2-003122&amp;B02</v>
      </c>
      <c r="P20" s="12"/>
      <c r="Q20" s="11" t="b">
        <f>EXACT(Tabelle1[[#This Row],[DMC Kamera SOLL:]],Tabelle1[[#This Row],[DMC Kamera IST:]])</f>
        <v>0</v>
      </c>
      <c r="R20" s="11" t="str">
        <f>"mac_address="&amp;Tabelle1[[#This Row],[MAC 2:]]&amp;"serial_nb=000"&amp;Tabelle1[[#This Row],[SNr.:]]&amp;"device_type="&amp;Tabelle1[[#This Row],[Devicetype:]]</f>
        <v>mac_address=98D3D2003122serial_nb=00012578device_type=rcam_2</v>
      </c>
      <c r="S20" s="12"/>
      <c r="T20" s="11" t="b">
        <f>EXACT(Tabelle1[[#This Row],[Configuration String aus SOME/IP-SD SOLL:]],Tabelle1[[#This Row],[Configuration String aus SOME/IP-SD IST:]])</f>
        <v>0</v>
      </c>
      <c r="U20" s="11" t="str">
        <f>Tabelle1[[#This Row],[snpn:]]&amp;"000"&amp;Tabelle1[[#This Row],[SNr.:]]&amp;LOWER(Tabelle1[[#This Row],[MAC 2:]])</f>
        <v>42245485710001257898d3d2003122</v>
      </c>
      <c r="V20" s="11"/>
      <c r="W20" s="11" t="b">
        <f>EXACT(Tabelle1[[#This Row],[Payload getCamIdentifikation (Wireshark) SOLL:]],Tabelle1[[#This Row],[Payload getCamIdentifikation (Wireshark) IST:]])</f>
        <v>0</v>
      </c>
      <c r="X20" s="11"/>
      <c r="Y20" s="11"/>
      <c r="Z20" s="11"/>
      <c r="AA20" s="11"/>
    </row>
    <row r="21" spans="1:27" x14ac:dyDescent="0.2">
      <c r="A21" s="11">
        <f t="shared" si="3"/>
        <v>20</v>
      </c>
      <c r="B21" s="1" t="s">
        <v>37</v>
      </c>
      <c r="C21" t="s">
        <v>35</v>
      </c>
      <c r="D21" s="3" t="s">
        <v>31</v>
      </c>
      <c r="E21">
        <v>24570238</v>
      </c>
      <c r="F21">
        <v>24548571</v>
      </c>
      <c r="G21" t="s">
        <v>0</v>
      </c>
      <c r="H21" t="s">
        <v>33</v>
      </c>
      <c r="I21" s="11">
        <v>4224548571</v>
      </c>
      <c r="J21" t="s">
        <v>32</v>
      </c>
      <c r="K21">
        <v>12579</v>
      </c>
      <c r="L21" s="12" t="str">
        <f t="shared" si="4"/>
        <v>98D3D2-003123</v>
      </c>
      <c r="M21" s="11" t="str">
        <f t="shared" si="5"/>
        <v>98D3D2003123</v>
      </c>
      <c r="N21" s="3">
        <v>260227</v>
      </c>
      <c r="O21" s="11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24548571&amp;260227&amp;12579&amp;98D3D2-003123&amp;B02</v>
      </c>
      <c r="P21" s="12"/>
      <c r="Q21" s="11" t="b">
        <f>EXACT(Tabelle1[[#This Row],[DMC Kamera SOLL:]],Tabelle1[[#This Row],[DMC Kamera IST:]])</f>
        <v>0</v>
      </c>
      <c r="R21" s="11" t="str">
        <f>"mac_address="&amp;Tabelle1[[#This Row],[MAC 2:]]&amp;"serial_nb=000"&amp;Tabelle1[[#This Row],[SNr.:]]&amp;"device_type="&amp;Tabelle1[[#This Row],[Devicetype:]]</f>
        <v>mac_address=98D3D2003123serial_nb=00012579device_type=rcam_2</v>
      </c>
      <c r="S21" s="12"/>
      <c r="T21" s="11" t="b">
        <f>EXACT(Tabelle1[[#This Row],[Configuration String aus SOME/IP-SD SOLL:]],Tabelle1[[#This Row],[Configuration String aus SOME/IP-SD IST:]])</f>
        <v>0</v>
      </c>
      <c r="U21" s="11" t="str">
        <f>Tabelle1[[#This Row],[snpn:]]&amp;"000"&amp;Tabelle1[[#This Row],[SNr.:]]&amp;LOWER(Tabelle1[[#This Row],[MAC 2:]])</f>
        <v>42245485710001257998d3d2003123</v>
      </c>
      <c r="V21" s="11"/>
      <c r="W21" s="11" t="b">
        <f>EXACT(Tabelle1[[#This Row],[Payload getCamIdentifikation (Wireshark) SOLL:]],Tabelle1[[#This Row],[Payload getCamIdentifikation (Wireshark) IST:]])</f>
        <v>0</v>
      </c>
      <c r="X21" s="11"/>
      <c r="Y21" s="11"/>
      <c r="Z21" s="11"/>
      <c r="AA21" s="11"/>
    </row>
    <row r="22" spans="1:27" x14ac:dyDescent="0.2">
      <c r="A22" s="11">
        <f t="shared" si="3"/>
        <v>21</v>
      </c>
      <c r="B22" s="1" t="s">
        <v>37</v>
      </c>
      <c r="C22" t="s">
        <v>35</v>
      </c>
      <c r="D22" s="3" t="s">
        <v>31</v>
      </c>
      <c r="E22">
        <v>24570238</v>
      </c>
      <c r="F22">
        <v>24548571</v>
      </c>
      <c r="G22" t="s">
        <v>0</v>
      </c>
      <c r="H22" t="s">
        <v>33</v>
      </c>
      <c r="I22" s="11">
        <v>4224548571</v>
      </c>
      <c r="J22" t="s">
        <v>32</v>
      </c>
      <c r="K22">
        <v>12580</v>
      </c>
      <c r="L22" s="12" t="str">
        <f t="shared" si="4"/>
        <v>98D3D2-003124</v>
      </c>
      <c r="M22" s="11" t="str">
        <f t="shared" si="5"/>
        <v>98D3D2003124</v>
      </c>
      <c r="N22" s="3">
        <v>260227</v>
      </c>
      <c r="O22" s="11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24548571&amp;260227&amp;12580&amp;98D3D2-003124&amp;B02</v>
      </c>
      <c r="P22" s="12"/>
      <c r="Q22" s="11" t="b">
        <f>EXACT(Tabelle1[[#This Row],[DMC Kamera SOLL:]],Tabelle1[[#This Row],[DMC Kamera IST:]])</f>
        <v>0</v>
      </c>
      <c r="R22" s="11" t="str">
        <f>"mac_address="&amp;Tabelle1[[#This Row],[MAC 2:]]&amp;"serial_nb=000"&amp;Tabelle1[[#This Row],[SNr.:]]&amp;"device_type="&amp;Tabelle1[[#This Row],[Devicetype:]]</f>
        <v>mac_address=98D3D2003124serial_nb=00012580device_type=rcam_2</v>
      </c>
      <c r="S22" s="12"/>
      <c r="T22" s="11" t="b">
        <f>EXACT(Tabelle1[[#This Row],[Configuration String aus SOME/IP-SD SOLL:]],Tabelle1[[#This Row],[Configuration String aus SOME/IP-SD IST:]])</f>
        <v>0</v>
      </c>
      <c r="U22" s="11" t="str">
        <f>Tabelle1[[#This Row],[snpn:]]&amp;"000"&amp;Tabelle1[[#This Row],[SNr.:]]&amp;LOWER(Tabelle1[[#This Row],[MAC 2:]])</f>
        <v>42245485710001258098d3d2003124</v>
      </c>
      <c r="V22" s="11"/>
      <c r="W22" s="11" t="b">
        <f>EXACT(Tabelle1[[#This Row],[Payload getCamIdentifikation (Wireshark) SOLL:]],Tabelle1[[#This Row],[Payload getCamIdentifikation (Wireshark) IST:]])</f>
        <v>0</v>
      </c>
      <c r="X22" s="11"/>
      <c r="Y22" s="11"/>
      <c r="Z22" s="11"/>
      <c r="AA22" s="11"/>
    </row>
    <row r="23" spans="1:27" x14ac:dyDescent="0.2">
      <c r="A23" s="11">
        <f t="shared" si="3"/>
        <v>22</v>
      </c>
      <c r="B23" s="1" t="s">
        <v>37</v>
      </c>
      <c r="C23" t="s">
        <v>35</v>
      </c>
      <c r="D23" s="3" t="s">
        <v>31</v>
      </c>
      <c r="E23">
        <v>24570238</v>
      </c>
      <c r="F23">
        <v>24548571</v>
      </c>
      <c r="G23" t="s">
        <v>0</v>
      </c>
      <c r="H23" t="s">
        <v>33</v>
      </c>
      <c r="I23" s="11">
        <v>4224548571</v>
      </c>
      <c r="J23" t="s">
        <v>32</v>
      </c>
      <c r="K23">
        <v>12581</v>
      </c>
      <c r="L23" s="12" t="str">
        <f t="shared" si="4"/>
        <v>98D3D2-003125</v>
      </c>
      <c r="M23" s="11" t="str">
        <f t="shared" si="5"/>
        <v>98D3D2003125</v>
      </c>
      <c r="N23" s="3">
        <v>260227</v>
      </c>
      <c r="O23" s="11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24548571&amp;260227&amp;12581&amp;98D3D2-003125&amp;B02</v>
      </c>
      <c r="P23" s="12"/>
      <c r="Q23" s="11" t="b">
        <f>EXACT(Tabelle1[[#This Row],[DMC Kamera SOLL:]],Tabelle1[[#This Row],[DMC Kamera IST:]])</f>
        <v>0</v>
      </c>
      <c r="R23" s="11" t="str">
        <f>"mac_address="&amp;Tabelle1[[#This Row],[MAC 2:]]&amp;"serial_nb=000"&amp;Tabelle1[[#This Row],[SNr.:]]&amp;"device_type="&amp;Tabelle1[[#This Row],[Devicetype:]]</f>
        <v>mac_address=98D3D2003125serial_nb=00012581device_type=rcam_2</v>
      </c>
      <c r="S23" s="12"/>
      <c r="T23" s="11" t="b">
        <f>EXACT(Tabelle1[[#This Row],[Configuration String aus SOME/IP-SD SOLL:]],Tabelle1[[#This Row],[Configuration String aus SOME/IP-SD IST:]])</f>
        <v>0</v>
      </c>
      <c r="U23" s="11" t="str">
        <f>Tabelle1[[#This Row],[snpn:]]&amp;"000"&amp;Tabelle1[[#This Row],[SNr.:]]&amp;LOWER(Tabelle1[[#This Row],[MAC 2:]])</f>
        <v>42245485710001258198d3d2003125</v>
      </c>
      <c r="V23" s="11"/>
      <c r="W23" s="11" t="b">
        <f>EXACT(Tabelle1[[#This Row],[Payload getCamIdentifikation (Wireshark) SOLL:]],Tabelle1[[#This Row],[Payload getCamIdentifikation (Wireshark) IST:]])</f>
        <v>0</v>
      </c>
      <c r="X23" s="11"/>
      <c r="Y23" s="11"/>
      <c r="Z23" s="11"/>
      <c r="AA23" s="11"/>
    </row>
    <row r="24" spans="1:27" x14ac:dyDescent="0.2">
      <c r="A24" s="11">
        <f t="shared" si="3"/>
        <v>23</v>
      </c>
      <c r="B24" s="1" t="s">
        <v>37</v>
      </c>
      <c r="C24" t="s">
        <v>35</v>
      </c>
      <c r="D24" s="3" t="s">
        <v>31</v>
      </c>
      <c r="E24">
        <v>24570238</v>
      </c>
      <c r="F24">
        <v>24548571</v>
      </c>
      <c r="G24" t="s">
        <v>0</v>
      </c>
      <c r="H24" t="s">
        <v>33</v>
      </c>
      <c r="I24" s="11">
        <v>4224548571</v>
      </c>
      <c r="J24" t="s">
        <v>32</v>
      </c>
      <c r="K24">
        <v>12582</v>
      </c>
      <c r="L24" s="12" t="str">
        <f t="shared" si="4"/>
        <v>98D3D2-003126</v>
      </c>
      <c r="M24" s="11" t="str">
        <f t="shared" si="5"/>
        <v>98D3D2003126</v>
      </c>
      <c r="N24" s="3">
        <v>260227</v>
      </c>
      <c r="O24" s="11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24548571&amp;260227&amp;12582&amp;98D3D2-003126&amp;B02</v>
      </c>
      <c r="P24" s="12"/>
      <c r="Q24" s="11" t="b">
        <f>EXACT(Tabelle1[[#This Row],[DMC Kamera SOLL:]],Tabelle1[[#This Row],[DMC Kamera IST:]])</f>
        <v>0</v>
      </c>
      <c r="R24" s="11" t="str">
        <f>"mac_address="&amp;Tabelle1[[#This Row],[MAC 2:]]&amp;"serial_nb=000"&amp;Tabelle1[[#This Row],[SNr.:]]&amp;"device_type="&amp;Tabelle1[[#This Row],[Devicetype:]]</f>
        <v>mac_address=98D3D2003126serial_nb=00012582device_type=rcam_2</v>
      </c>
      <c r="S24" s="12"/>
      <c r="T24" s="11" t="b">
        <f>EXACT(Tabelle1[[#This Row],[Configuration String aus SOME/IP-SD SOLL:]],Tabelle1[[#This Row],[Configuration String aus SOME/IP-SD IST:]])</f>
        <v>0</v>
      </c>
      <c r="U24" s="11" t="str">
        <f>Tabelle1[[#This Row],[snpn:]]&amp;"000"&amp;Tabelle1[[#This Row],[SNr.:]]&amp;LOWER(Tabelle1[[#This Row],[MAC 2:]])</f>
        <v>42245485710001258298d3d2003126</v>
      </c>
      <c r="V24" s="11"/>
      <c r="W24" s="11" t="b">
        <f>EXACT(Tabelle1[[#This Row],[Payload getCamIdentifikation (Wireshark) SOLL:]],Tabelle1[[#This Row],[Payload getCamIdentifikation (Wireshark) IST:]])</f>
        <v>0</v>
      </c>
      <c r="X24" s="11"/>
      <c r="Y24" s="11"/>
      <c r="Z24" s="11"/>
      <c r="AA24" s="11"/>
    </row>
    <row r="25" spans="1:27" x14ac:dyDescent="0.2">
      <c r="A25" s="11">
        <f t="shared" si="3"/>
        <v>24</v>
      </c>
      <c r="B25" s="1" t="s">
        <v>37</v>
      </c>
      <c r="C25" t="s">
        <v>35</v>
      </c>
      <c r="D25" s="3" t="s">
        <v>31</v>
      </c>
      <c r="E25">
        <v>24570238</v>
      </c>
      <c r="F25">
        <v>24548571</v>
      </c>
      <c r="G25" t="s">
        <v>0</v>
      </c>
      <c r="H25" t="s">
        <v>33</v>
      </c>
      <c r="I25" s="11">
        <v>4224548571</v>
      </c>
      <c r="J25" t="s">
        <v>32</v>
      </c>
      <c r="K25">
        <v>12583</v>
      </c>
      <c r="L25" s="12" t="str">
        <f t="shared" si="4"/>
        <v>98D3D2-003127</v>
      </c>
      <c r="M25" s="11" t="str">
        <f t="shared" si="5"/>
        <v>98D3D2003127</v>
      </c>
      <c r="N25" s="3">
        <v>260227</v>
      </c>
      <c r="O25" s="11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24548571&amp;260227&amp;12583&amp;98D3D2-003127&amp;B02</v>
      </c>
      <c r="P25" s="12"/>
      <c r="Q25" s="11" t="b">
        <f>EXACT(Tabelle1[[#This Row],[DMC Kamera SOLL:]],Tabelle1[[#This Row],[DMC Kamera IST:]])</f>
        <v>0</v>
      </c>
      <c r="R25" s="11" t="str">
        <f>"mac_address="&amp;Tabelle1[[#This Row],[MAC 2:]]&amp;"serial_nb=000"&amp;Tabelle1[[#This Row],[SNr.:]]&amp;"device_type="&amp;Tabelle1[[#This Row],[Devicetype:]]</f>
        <v>mac_address=98D3D2003127serial_nb=00012583device_type=rcam_2</v>
      </c>
      <c r="S25" s="12"/>
      <c r="T25" s="11" t="b">
        <f>EXACT(Tabelle1[[#This Row],[Configuration String aus SOME/IP-SD SOLL:]],Tabelle1[[#This Row],[Configuration String aus SOME/IP-SD IST:]])</f>
        <v>0</v>
      </c>
      <c r="U25" s="11" t="str">
        <f>Tabelle1[[#This Row],[snpn:]]&amp;"000"&amp;Tabelle1[[#This Row],[SNr.:]]&amp;LOWER(Tabelle1[[#This Row],[MAC 2:]])</f>
        <v>42245485710001258398d3d2003127</v>
      </c>
      <c r="V25" s="11"/>
      <c r="W25" s="11" t="b">
        <f>EXACT(Tabelle1[[#This Row],[Payload getCamIdentifikation (Wireshark) SOLL:]],Tabelle1[[#This Row],[Payload getCamIdentifikation (Wireshark) IST:]])</f>
        <v>0</v>
      </c>
      <c r="X25" s="11"/>
      <c r="Y25" s="11"/>
      <c r="Z25" s="11"/>
      <c r="AA25" s="11"/>
    </row>
    <row r="26" spans="1:27" x14ac:dyDescent="0.2">
      <c r="A26" s="11">
        <f t="shared" si="3"/>
        <v>25</v>
      </c>
      <c r="B26" s="1" t="s">
        <v>37</v>
      </c>
      <c r="C26" t="s">
        <v>35</v>
      </c>
      <c r="D26" s="3" t="s">
        <v>31</v>
      </c>
      <c r="E26">
        <v>24570238</v>
      </c>
      <c r="F26">
        <v>24548571</v>
      </c>
      <c r="G26" t="s">
        <v>0</v>
      </c>
      <c r="H26" t="s">
        <v>33</v>
      </c>
      <c r="I26" s="11">
        <v>4224548571</v>
      </c>
      <c r="J26" t="s">
        <v>32</v>
      </c>
      <c r="K26">
        <v>12584</v>
      </c>
      <c r="L26" s="12" t="str">
        <f t="shared" si="4"/>
        <v>98D3D2-003128</v>
      </c>
      <c r="M26" s="11" t="str">
        <f t="shared" si="5"/>
        <v>98D3D2003128</v>
      </c>
      <c r="N26" s="3">
        <v>260227</v>
      </c>
      <c r="O26" s="11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24548571&amp;260227&amp;12584&amp;98D3D2-003128&amp;B02</v>
      </c>
      <c r="P26" s="12"/>
      <c r="Q26" s="11" t="b">
        <f>EXACT(Tabelle1[[#This Row],[DMC Kamera SOLL:]],Tabelle1[[#This Row],[DMC Kamera IST:]])</f>
        <v>0</v>
      </c>
      <c r="R26" s="11" t="str">
        <f>"mac_address="&amp;Tabelle1[[#This Row],[MAC 2:]]&amp;"serial_nb=000"&amp;Tabelle1[[#This Row],[SNr.:]]&amp;"device_type="&amp;Tabelle1[[#This Row],[Devicetype:]]</f>
        <v>mac_address=98D3D2003128serial_nb=00012584device_type=rcam_2</v>
      </c>
      <c r="S26" s="12"/>
      <c r="T26" s="11" t="b">
        <f>EXACT(Tabelle1[[#This Row],[Configuration String aus SOME/IP-SD SOLL:]],Tabelle1[[#This Row],[Configuration String aus SOME/IP-SD IST:]])</f>
        <v>0</v>
      </c>
      <c r="U26" s="11" t="str">
        <f>Tabelle1[[#This Row],[snpn:]]&amp;"000"&amp;Tabelle1[[#This Row],[SNr.:]]&amp;LOWER(Tabelle1[[#This Row],[MAC 2:]])</f>
        <v>42245485710001258498d3d2003128</v>
      </c>
      <c r="V26" s="11"/>
      <c r="W26" s="11" t="b">
        <f>EXACT(Tabelle1[[#This Row],[Payload getCamIdentifikation (Wireshark) SOLL:]],Tabelle1[[#This Row],[Payload getCamIdentifikation (Wireshark) IST:]])</f>
        <v>0</v>
      </c>
      <c r="X26" s="11"/>
      <c r="Y26" s="11"/>
      <c r="Z26" s="11"/>
      <c r="AA26" s="11"/>
    </row>
    <row r="27" spans="1:27" x14ac:dyDescent="0.2">
      <c r="A27" s="11">
        <f t="shared" si="3"/>
        <v>26</v>
      </c>
      <c r="B27" s="1" t="s">
        <v>37</v>
      </c>
      <c r="C27" t="s">
        <v>35</v>
      </c>
      <c r="D27" s="3" t="s">
        <v>31</v>
      </c>
      <c r="E27">
        <v>24570238</v>
      </c>
      <c r="F27">
        <v>24548571</v>
      </c>
      <c r="G27" t="s">
        <v>0</v>
      </c>
      <c r="H27" t="s">
        <v>33</v>
      </c>
      <c r="I27" s="11">
        <v>4224548571</v>
      </c>
      <c r="J27" t="s">
        <v>32</v>
      </c>
      <c r="K27">
        <v>12585</v>
      </c>
      <c r="L27" s="12" t="str">
        <f t="shared" si="4"/>
        <v>98D3D2-003129</v>
      </c>
      <c r="M27" s="11" t="str">
        <f t="shared" si="5"/>
        <v>98D3D2003129</v>
      </c>
      <c r="N27" s="3">
        <v>260227</v>
      </c>
      <c r="O27" s="11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24548571&amp;260227&amp;12585&amp;98D3D2-003129&amp;B02</v>
      </c>
      <c r="P27" s="12"/>
      <c r="Q27" s="11" t="b">
        <f>EXACT(Tabelle1[[#This Row],[DMC Kamera SOLL:]],Tabelle1[[#This Row],[DMC Kamera IST:]])</f>
        <v>0</v>
      </c>
      <c r="R27" s="11" t="str">
        <f>"mac_address="&amp;Tabelle1[[#This Row],[MAC 2:]]&amp;"serial_nb=000"&amp;Tabelle1[[#This Row],[SNr.:]]&amp;"device_type="&amp;Tabelle1[[#This Row],[Devicetype:]]</f>
        <v>mac_address=98D3D2003129serial_nb=00012585device_type=rcam_2</v>
      </c>
      <c r="S27" s="12"/>
      <c r="T27" s="11" t="b">
        <f>EXACT(Tabelle1[[#This Row],[Configuration String aus SOME/IP-SD SOLL:]],Tabelle1[[#This Row],[Configuration String aus SOME/IP-SD IST:]])</f>
        <v>0</v>
      </c>
      <c r="U27" s="11" t="str">
        <f>Tabelle1[[#This Row],[snpn:]]&amp;"000"&amp;Tabelle1[[#This Row],[SNr.:]]&amp;LOWER(Tabelle1[[#This Row],[MAC 2:]])</f>
        <v>42245485710001258598d3d2003129</v>
      </c>
      <c r="V27" s="11"/>
      <c r="W27" s="11" t="b">
        <f>EXACT(Tabelle1[[#This Row],[Payload getCamIdentifikation (Wireshark) SOLL:]],Tabelle1[[#This Row],[Payload getCamIdentifikation (Wireshark) IST:]])</f>
        <v>0</v>
      </c>
      <c r="X27" s="11"/>
      <c r="Y27" s="11"/>
      <c r="Z27" s="11"/>
      <c r="AA27" s="11"/>
    </row>
    <row r="28" spans="1:27" x14ac:dyDescent="0.2">
      <c r="A28" s="11">
        <f t="shared" si="3"/>
        <v>27</v>
      </c>
      <c r="B28" s="1" t="s">
        <v>37</v>
      </c>
      <c r="C28" t="s">
        <v>35</v>
      </c>
      <c r="D28" s="3" t="s">
        <v>31</v>
      </c>
      <c r="E28">
        <v>24570238</v>
      </c>
      <c r="F28">
        <v>24548571</v>
      </c>
      <c r="G28" t="s">
        <v>0</v>
      </c>
      <c r="H28" t="s">
        <v>33</v>
      </c>
      <c r="I28" s="11">
        <v>4224548571</v>
      </c>
      <c r="J28" t="s">
        <v>32</v>
      </c>
      <c r="K28">
        <v>12586</v>
      </c>
      <c r="L28" s="12" t="str">
        <f t="shared" si="4"/>
        <v>98D3D2-00312A</v>
      </c>
      <c r="M28" s="11" t="str">
        <f t="shared" si="5"/>
        <v>98D3D200312A</v>
      </c>
      <c r="N28" s="3">
        <v>260227</v>
      </c>
      <c r="O28" s="11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24548571&amp;260227&amp;12586&amp;98D3D2-00312A&amp;B02</v>
      </c>
      <c r="P28" s="12"/>
      <c r="Q28" s="11" t="b">
        <f>EXACT(Tabelle1[[#This Row],[DMC Kamera SOLL:]],Tabelle1[[#This Row],[DMC Kamera IST:]])</f>
        <v>0</v>
      </c>
      <c r="R28" s="11" t="str">
        <f>"mac_address="&amp;Tabelle1[[#This Row],[MAC 2:]]&amp;"serial_nb=000"&amp;Tabelle1[[#This Row],[SNr.:]]&amp;"device_type="&amp;Tabelle1[[#This Row],[Devicetype:]]</f>
        <v>mac_address=98D3D200312Aserial_nb=00012586device_type=rcam_2</v>
      </c>
      <c r="S28" s="12"/>
      <c r="T28" s="11" t="b">
        <f>EXACT(Tabelle1[[#This Row],[Configuration String aus SOME/IP-SD SOLL:]],Tabelle1[[#This Row],[Configuration String aus SOME/IP-SD IST:]])</f>
        <v>0</v>
      </c>
      <c r="U28" s="11" t="str">
        <f>Tabelle1[[#This Row],[snpn:]]&amp;"000"&amp;Tabelle1[[#This Row],[SNr.:]]&amp;LOWER(Tabelle1[[#This Row],[MAC 2:]])</f>
        <v>42245485710001258698d3d200312a</v>
      </c>
      <c r="V28" s="11"/>
      <c r="W28" s="11" t="b">
        <f>EXACT(Tabelle1[[#This Row],[Payload getCamIdentifikation (Wireshark) SOLL:]],Tabelle1[[#This Row],[Payload getCamIdentifikation (Wireshark) IST:]])</f>
        <v>0</v>
      </c>
      <c r="X28" s="11"/>
      <c r="Y28" s="11"/>
      <c r="Z28" s="11"/>
      <c r="AA28" s="11"/>
    </row>
    <row r="29" spans="1:27" x14ac:dyDescent="0.2">
      <c r="A29" s="11">
        <f t="shared" si="3"/>
        <v>28</v>
      </c>
      <c r="B29" s="1" t="s">
        <v>37</v>
      </c>
      <c r="C29" t="s">
        <v>35</v>
      </c>
      <c r="D29" s="3" t="s">
        <v>31</v>
      </c>
      <c r="E29">
        <v>24570238</v>
      </c>
      <c r="F29">
        <v>24548571</v>
      </c>
      <c r="G29" t="s">
        <v>0</v>
      </c>
      <c r="H29" t="s">
        <v>33</v>
      </c>
      <c r="I29" s="11">
        <v>4224548571</v>
      </c>
      <c r="J29" t="s">
        <v>32</v>
      </c>
      <c r="K29">
        <v>12587</v>
      </c>
      <c r="L29" s="12" t="str">
        <f t="shared" si="4"/>
        <v>98D3D2-00312B</v>
      </c>
      <c r="M29" s="11" t="str">
        <f t="shared" si="5"/>
        <v>98D3D200312B</v>
      </c>
      <c r="N29" s="3">
        <v>260227</v>
      </c>
      <c r="O29" s="11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24548571&amp;260227&amp;12587&amp;98D3D2-00312B&amp;B02</v>
      </c>
      <c r="P29" s="12"/>
      <c r="Q29" s="11" t="b">
        <f>EXACT(Tabelle1[[#This Row],[DMC Kamera SOLL:]],Tabelle1[[#This Row],[DMC Kamera IST:]])</f>
        <v>0</v>
      </c>
      <c r="R29" s="11" t="str">
        <f>"mac_address="&amp;Tabelle1[[#This Row],[MAC 2:]]&amp;"serial_nb=000"&amp;Tabelle1[[#This Row],[SNr.:]]&amp;"device_type="&amp;Tabelle1[[#This Row],[Devicetype:]]</f>
        <v>mac_address=98D3D200312Bserial_nb=00012587device_type=rcam_2</v>
      </c>
      <c r="S29" s="12"/>
      <c r="T29" s="11" t="b">
        <f>EXACT(Tabelle1[[#This Row],[Configuration String aus SOME/IP-SD SOLL:]],Tabelle1[[#This Row],[Configuration String aus SOME/IP-SD IST:]])</f>
        <v>0</v>
      </c>
      <c r="U29" s="11" t="str">
        <f>Tabelle1[[#This Row],[snpn:]]&amp;"000"&amp;Tabelle1[[#This Row],[SNr.:]]&amp;LOWER(Tabelle1[[#This Row],[MAC 2:]])</f>
        <v>42245485710001258798d3d200312b</v>
      </c>
      <c r="V29" s="11"/>
      <c r="W29" s="11" t="b">
        <f>EXACT(Tabelle1[[#This Row],[Payload getCamIdentifikation (Wireshark) SOLL:]],Tabelle1[[#This Row],[Payload getCamIdentifikation (Wireshark) IST:]])</f>
        <v>0</v>
      </c>
      <c r="X29" s="11"/>
      <c r="Y29" s="11"/>
      <c r="Z29" s="11"/>
      <c r="AA29" s="11"/>
    </row>
    <row r="30" spans="1:27" x14ac:dyDescent="0.2">
      <c r="A30" s="11">
        <f t="shared" si="3"/>
        <v>29</v>
      </c>
      <c r="B30" s="1" t="s">
        <v>37</v>
      </c>
      <c r="C30" t="s">
        <v>35</v>
      </c>
      <c r="D30" s="3" t="s">
        <v>31</v>
      </c>
      <c r="E30">
        <v>24570238</v>
      </c>
      <c r="F30">
        <v>24548571</v>
      </c>
      <c r="G30" t="s">
        <v>0</v>
      </c>
      <c r="H30" t="s">
        <v>33</v>
      </c>
      <c r="I30" s="11">
        <v>4224548571</v>
      </c>
      <c r="J30" t="s">
        <v>32</v>
      </c>
      <c r="K30">
        <v>12588</v>
      </c>
      <c r="L30" s="12" t="str">
        <f t="shared" si="4"/>
        <v>98D3D2-00312C</v>
      </c>
      <c r="M30" s="11" t="str">
        <f t="shared" si="5"/>
        <v>98D3D200312C</v>
      </c>
      <c r="N30" s="3">
        <v>260227</v>
      </c>
      <c r="O30" s="11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24548571&amp;260227&amp;12588&amp;98D3D2-00312C&amp;B02</v>
      </c>
      <c r="P30" s="12"/>
      <c r="Q30" s="11" t="b">
        <f>EXACT(Tabelle1[[#This Row],[DMC Kamera SOLL:]],Tabelle1[[#This Row],[DMC Kamera IST:]])</f>
        <v>0</v>
      </c>
      <c r="R30" s="11" t="str">
        <f>"mac_address="&amp;Tabelle1[[#This Row],[MAC 2:]]&amp;"serial_nb=000"&amp;Tabelle1[[#This Row],[SNr.:]]&amp;"device_type="&amp;Tabelle1[[#This Row],[Devicetype:]]</f>
        <v>mac_address=98D3D200312Cserial_nb=00012588device_type=rcam_2</v>
      </c>
      <c r="S30" s="12"/>
      <c r="T30" s="11" t="b">
        <f>EXACT(Tabelle1[[#This Row],[Configuration String aus SOME/IP-SD SOLL:]],Tabelle1[[#This Row],[Configuration String aus SOME/IP-SD IST:]])</f>
        <v>0</v>
      </c>
      <c r="U30" s="11" t="str">
        <f>Tabelle1[[#This Row],[snpn:]]&amp;"000"&amp;Tabelle1[[#This Row],[SNr.:]]&amp;LOWER(Tabelle1[[#This Row],[MAC 2:]])</f>
        <v>42245485710001258898d3d200312c</v>
      </c>
      <c r="V30" s="11"/>
      <c r="W30" s="11" t="b">
        <f>EXACT(Tabelle1[[#This Row],[Payload getCamIdentifikation (Wireshark) SOLL:]],Tabelle1[[#This Row],[Payload getCamIdentifikation (Wireshark) IST:]])</f>
        <v>0</v>
      </c>
      <c r="X30" s="11"/>
      <c r="Y30" s="11"/>
      <c r="Z30" s="11"/>
      <c r="AA30" s="11"/>
    </row>
    <row r="31" spans="1:27" x14ac:dyDescent="0.2">
      <c r="A31" s="11">
        <f t="shared" si="3"/>
        <v>30</v>
      </c>
      <c r="B31" s="1" t="s">
        <v>37</v>
      </c>
      <c r="C31" t="s">
        <v>35</v>
      </c>
      <c r="D31" s="3" t="s">
        <v>31</v>
      </c>
      <c r="E31">
        <v>24570238</v>
      </c>
      <c r="F31">
        <v>24548571</v>
      </c>
      <c r="G31" t="s">
        <v>0</v>
      </c>
      <c r="H31" t="s">
        <v>33</v>
      </c>
      <c r="I31" s="11">
        <v>4224548571</v>
      </c>
      <c r="J31" t="s">
        <v>32</v>
      </c>
      <c r="K31">
        <v>12589</v>
      </c>
      <c r="L31" s="12" t="str">
        <f t="shared" si="4"/>
        <v>98D3D2-00312D</v>
      </c>
      <c r="M31" s="11" t="str">
        <f t="shared" si="5"/>
        <v>98D3D200312D</v>
      </c>
      <c r="N31" s="3">
        <v>260227</v>
      </c>
      <c r="O31" s="11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24548571&amp;260227&amp;12589&amp;98D3D2-00312D&amp;B02</v>
      </c>
      <c r="P31" s="12"/>
      <c r="Q31" s="11" t="b">
        <f>EXACT(Tabelle1[[#This Row],[DMC Kamera SOLL:]],Tabelle1[[#This Row],[DMC Kamera IST:]])</f>
        <v>0</v>
      </c>
      <c r="R31" s="11" t="str">
        <f>"mac_address="&amp;Tabelle1[[#This Row],[MAC 2:]]&amp;"serial_nb=000"&amp;Tabelle1[[#This Row],[SNr.:]]&amp;"device_type="&amp;Tabelle1[[#This Row],[Devicetype:]]</f>
        <v>mac_address=98D3D200312Dserial_nb=00012589device_type=rcam_2</v>
      </c>
      <c r="S31" s="12"/>
      <c r="T31" s="11" t="b">
        <f>EXACT(Tabelle1[[#This Row],[Configuration String aus SOME/IP-SD SOLL:]],Tabelle1[[#This Row],[Configuration String aus SOME/IP-SD IST:]])</f>
        <v>0</v>
      </c>
      <c r="U31" s="11" t="str">
        <f>Tabelle1[[#This Row],[snpn:]]&amp;"000"&amp;Tabelle1[[#This Row],[SNr.:]]&amp;LOWER(Tabelle1[[#This Row],[MAC 2:]])</f>
        <v>42245485710001258998d3d200312d</v>
      </c>
      <c r="V31" s="11"/>
      <c r="W31" s="11" t="b">
        <f>EXACT(Tabelle1[[#This Row],[Payload getCamIdentifikation (Wireshark) SOLL:]],Tabelle1[[#This Row],[Payload getCamIdentifikation (Wireshark) IST:]])</f>
        <v>0</v>
      </c>
      <c r="X31" s="11"/>
      <c r="Y31" s="11"/>
      <c r="Z31" s="11"/>
      <c r="AA31" s="11"/>
    </row>
    <row r="32" spans="1:27" x14ac:dyDescent="0.2">
      <c r="A32" s="11">
        <f t="shared" si="3"/>
        <v>31</v>
      </c>
      <c r="B32" s="1" t="s">
        <v>37</v>
      </c>
      <c r="C32" t="s">
        <v>35</v>
      </c>
      <c r="D32" s="3" t="s">
        <v>31</v>
      </c>
      <c r="E32">
        <v>24570238</v>
      </c>
      <c r="F32">
        <v>24548571</v>
      </c>
      <c r="G32" t="s">
        <v>0</v>
      </c>
      <c r="H32" t="s">
        <v>33</v>
      </c>
      <c r="I32" s="11">
        <v>4224548571</v>
      </c>
      <c r="J32" t="s">
        <v>32</v>
      </c>
      <c r="K32">
        <v>12590</v>
      </c>
      <c r="L32" s="12" t="str">
        <f t="shared" si="4"/>
        <v>98D3D2-00312E</v>
      </c>
      <c r="M32" s="11" t="str">
        <f t="shared" si="5"/>
        <v>98D3D200312E</v>
      </c>
      <c r="N32" s="3">
        <v>260227</v>
      </c>
      <c r="O32" s="11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24548571&amp;260227&amp;12590&amp;98D3D2-00312E&amp;B02</v>
      </c>
      <c r="P32" s="12"/>
      <c r="Q32" s="11" t="b">
        <f>EXACT(Tabelle1[[#This Row],[DMC Kamera SOLL:]],Tabelle1[[#This Row],[DMC Kamera IST:]])</f>
        <v>0</v>
      </c>
      <c r="R32" s="11" t="str">
        <f>"mac_address="&amp;Tabelle1[[#This Row],[MAC 2:]]&amp;"serial_nb=000"&amp;Tabelle1[[#This Row],[SNr.:]]&amp;"device_type="&amp;Tabelle1[[#This Row],[Devicetype:]]</f>
        <v>mac_address=98D3D200312Eserial_nb=00012590device_type=rcam_2</v>
      </c>
      <c r="S32" s="12"/>
      <c r="T32" s="11" t="b">
        <f>EXACT(Tabelle1[[#This Row],[Configuration String aus SOME/IP-SD SOLL:]],Tabelle1[[#This Row],[Configuration String aus SOME/IP-SD IST:]])</f>
        <v>0</v>
      </c>
      <c r="U32" s="11" t="str">
        <f>Tabelle1[[#This Row],[snpn:]]&amp;"000"&amp;Tabelle1[[#This Row],[SNr.:]]&amp;LOWER(Tabelle1[[#This Row],[MAC 2:]])</f>
        <v>42245485710001259098d3d200312e</v>
      </c>
      <c r="V32" s="11"/>
      <c r="W32" s="11" t="b">
        <f>EXACT(Tabelle1[[#This Row],[Payload getCamIdentifikation (Wireshark) SOLL:]],Tabelle1[[#This Row],[Payload getCamIdentifikation (Wireshark) IST:]])</f>
        <v>0</v>
      </c>
      <c r="X32" s="11"/>
      <c r="Y32" s="11"/>
      <c r="Z32" s="11"/>
      <c r="AA32" s="11"/>
    </row>
    <row r="33" spans="1:27" x14ac:dyDescent="0.2">
      <c r="A33" s="11">
        <f t="shared" si="3"/>
        <v>32</v>
      </c>
      <c r="B33" s="1" t="s">
        <v>37</v>
      </c>
      <c r="C33" t="s">
        <v>35</v>
      </c>
      <c r="D33" s="3" t="s">
        <v>31</v>
      </c>
      <c r="E33">
        <v>24570238</v>
      </c>
      <c r="F33">
        <v>24548571</v>
      </c>
      <c r="G33" t="s">
        <v>0</v>
      </c>
      <c r="H33" t="s">
        <v>33</v>
      </c>
      <c r="I33" s="11">
        <v>4224548571</v>
      </c>
      <c r="J33" t="s">
        <v>32</v>
      </c>
      <c r="K33">
        <v>12591</v>
      </c>
      <c r="L33" s="12" t="str">
        <f t="shared" si="4"/>
        <v>98D3D2-00312F</v>
      </c>
      <c r="M33" s="11" t="str">
        <f t="shared" si="5"/>
        <v>98D3D200312F</v>
      </c>
      <c r="N33" s="3">
        <v>260227</v>
      </c>
      <c r="O33" s="11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24548571&amp;260227&amp;12591&amp;98D3D2-00312F&amp;B02</v>
      </c>
      <c r="P33" s="12"/>
      <c r="Q33" s="11" t="b">
        <f>EXACT(Tabelle1[[#This Row],[DMC Kamera SOLL:]],Tabelle1[[#This Row],[DMC Kamera IST:]])</f>
        <v>0</v>
      </c>
      <c r="R33" s="11" t="str">
        <f>"mac_address="&amp;Tabelle1[[#This Row],[MAC 2:]]&amp;"serial_nb=000"&amp;Tabelle1[[#This Row],[SNr.:]]&amp;"device_type="&amp;Tabelle1[[#This Row],[Devicetype:]]</f>
        <v>mac_address=98D3D200312Fserial_nb=00012591device_type=rcam_2</v>
      </c>
      <c r="S33" s="12"/>
      <c r="T33" s="11" t="b">
        <f>EXACT(Tabelle1[[#This Row],[Configuration String aus SOME/IP-SD SOLL:]],Tabelle1[[#This Row],[Configuration String aus SOME/IP-SD IST:]])</f>
        <v>0</v>
      </c>
      <c r="U33" s="11" t="str">
        <f>Tabelle1[[#This Row],[snpn:]]&amp;"000"&amp;Tabelle1[[#This Row],[SNr.:]]&amp;LOWER(Tabelle1[[#This Row],[MAC 2:]])</f>
        <v>42245485710001259198d3d200312f</v>
      </c>
      <c r="V33" s="11"/>
      <c r="W33" s="11" t="b">
        <f>EXACT(Tabelle1[[#This Row],[Payload getCamIdentifikation (Wireshark) SOLL:]],Tabelle1[[#This Row],[Payload getCamIdentifikation (Wireshark) IST:]])</f>
        <v>0</v>
      </c>
      <c r="X33" s="11"/>
      <c r="Y33" s="11"/>
      <c r="Z33" s="11"/>
      <c r="AA33" s="11"/>
    </row>
    <row r="34" spans="1:27" x14ac:dyDescent="0.2">
      <c r="A34" s="11">
        <f t="shared" si="3"/>
        <v>33</v>
      </c>
      <c r="B34" s="1" t="s">
        <v>37</v>
      </c>
      <c r="C34" t="s">
        <v>35</v>
      </c>
      <c r="D34" s="3" t="s">
        <v>31</v>
      </c>
      <c r="E34">
        <v>24570238</v>
      </c>
      <c r="F34">
        <v>24548571</v>
      </c>
      <c r="G34" t="s">
        <v>0</v>
      </c>
      <c r="H34" t="s">
        <v>33</v>
      </c>
      <c r="I34" s="11">
        <v>4224548571</v>
      </c>
      <c r="J34" t="s">
        <v>32</v>
      </c>
      <c r="K34">
        <v>12592</v>
      </c>
      <c r="L34" s="12" t="str">
        <f t="shared" si="4"/>
        <v>98D3D2-003130</v>
      </c>
      <c r="M34" s="11" t="str">
        <f t="shared" si="5"/>
        <v>98D3D2003130</v>
      </c>
      <c r="N34" s="3">
        <v>260227</v>
      </c>
      <c r="O34" s="11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24548571&amp;260227&amp;12592&amp;98D3D2-003130&amp;B02</v>
      </c>
      <c r="P34" s="12"/>
      <c r="Q34" s="11" t="b">
        <f>EXACT(Tabelle1[[#This Row],[DMC Kamera SOLL:]],Tabelle1[[#This Row],[DMC Kamera IST:]])</f>
        <v>0</v>
      </c>
      <c r="R34" s="11" t="str">
        <f>"mac_address="&amp;Tabelle1[[#This Row],[MAC 2:]]&amp;"serial_nb=000"&amp;Tabelle1[[#This Row],[SNr.:]]&amp;"device_type="&amp;Tabelle1[[#This Row],[Devicetype:]]</f>
        <v>mac_address=98D3D2003130serial_nb=00012592device_type=rcam_2</v>
      </c>
      <c r="S34" s="12"/>
      <c r="T34" s="11" t="b">
        <f>EXACT(Tabelle1[[#This Row],[Configuration String aus SOME/IP-SD SOLL:]],Tabelle1[[#This Row],[Configuration String aus SOME/IP-SD IST:]])</f>
        <v>0</v>
      </c>
      <c r="U34" s="11" t="str">
        <f>Tabelle1[[#This Row],[snpn:]]&amp;"000"&amp;Tabelle1[[#This Row],[SNr.:]]&amp;LOWER(Tabelle1[[#This Row],[MAC 2:]])</f>
        <v>42245485710001259298d3d2003130</v>
      </c>
      <c r="V34" s="11"/>
      <c r="W34" s="11" t="b">
        <f>EXACT(Tabelle1[[#This Row],[Payload getCamIdentifikation (Wireshark) SOLL:]],Tabelle1[[#This Row],[Payload getCamIdentifikation (Wireshark) IST:]])</f>
        <v>0</v>
      </c>
      <c r="X34" s="11"/>
      <c r="Y34" s="11"/>
      <c r="Z34" s="11"/>
      <c r="AA34" s="11"/>
    </row>
    <row r="35" spans="1:27" x14ac:dyDescent="0.2">
      <c r="A35" s="11">
        <f t="shared" si="3"/>
        <v>34</v>
      </c>
      <c r="B35" s="1" t="s">
        <v>37</v>
      </c>
      <c r="C35" t="s">
        <v>35</v>
      </c>
      <c r="D35" s="3" t="s">
        <v>31</v>
      </c>
      <c r="E35">
        <v>24570238</v>
      </c>
      <c r="F35">
        <v>24548571</v>
      </c>
      <c r="G35" t="s">
        <v>0</v>
      </c>
      <c r="H35" t="s">
        <v>33</v>
      </c>
      <c r="I35" s="11">
        <v>4224548571</v>
      </c>
      <c r="J35" t="s">
        <v>32</v>
      </c>
      <c r="K35">
        <v>12593</v>
      </c>
      <c r="L35" s="12" t="str">
        <f t="shared" si="4"/>
        <v>98D3D2-003131</v>
      </c>
      <c r="M35" s="11" t="str">
        <f t="shared" si="5"/>
        <v>98D3D2003131</v>
      </c>
      <c r="N35" s="3">
        <v>260227</v>
      </c>
      <c r="O35" s="11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24548571&amp;260227&amp;12593&amp;98D3D2-003131&amp;B02</v>
      </c>
      <c r="P35" s="12"/>
      <c r="Q35" s="11" t="b">
        <f>EXACT(Tabelle1[[#This Row],[DMC Kamera SOLL:]],Tabelle1[[#This Row],[DMC Kamera IST:]])</f>
        <v>0</v>
      </c>
      <c r="R35" s="11" t="str">
        <f>"mac_address="&amp;Tabelle1[[#This Row],[MAC 2:]]&amp;"serial_nb=000"&amp;Tabelle1[[#This Row],[SNr.:]]&amp;"device_type="&amp;Tabelle1[[#This Row],[Devicetype:]]</f>
        <v>mac_address=98D3D2003131serial_nb=00012593device_type=rcam_2</v>
      </c>
      <c r="S35" s="12"/>
      <c r="T35" s="11" t="b">
        <f>EXACT(Tabelle1[[#This Row],[Configuration String aus SOME/IP-SD SOLL:]],Tabelle1[[#This Row],[Configuration String aus SOME/IP-SD IST:]])</f>
        <v>0</v>
      </c>
      <c r="U35" s="11" t="str">
        <f>Tabelle1[[#This Row],[snpn:]]&amp;"000"&amp;Tabelle1[[#This Row],[SNr.:]]&amp;LOWER(Tabelle1[[#This Row],[MAC 2:]])</f>
        <v>42245485710001259398d3d2003131</v>
      </c>
      <c r="V35" s="11"/>
      <c r="W35" s="11" t="b">
        <f>EXACT(Tabelle1[[#This Row],[Payload getCamIdentifikation (Wireshark) SOLL:]],Tabelle1[[#This Row],[Payload getCamIdentifikation (Wireshark) IST:]])</f>
        <v>0</v>
      </c>
      <c r="X35" s="11"/>
      <c r="Y35" s="11"/>
      <c r="Z35" s="11"/>
      <c r="AA35" s="11"/>
    </row>
  </sheetData>
  <conditionalFormatting sqref="T2:T35 Q1:Q35 W1:W35">
    <cfRule type="cellIs" dxfId="38" priority="11" operator="equal">
      <formula>TRUE</formula>
    </cfRule>
    <cfRule type="cellIs" dxfId="37" priority="12" operator="equal">
      <formula>FALSE</formula>
    </cfRule>
  </conditionalFormatting>
  <conditionalFormatting sqref="AA2 AA8:AA35">
    <cfRule type="cellIs" dxfId="36" priority="8" operator="between">
      <formula>0.08</formula>
      <formula>0.24</formula>
    </cfRule>
    <cfRule type="cellIs" dxfId="35" priority="9" operator="lessThan">
      <formula>0.08</formula>
    </cfRule>
    <cfRule type="cellIs" dxfId="34" priority="10" operator="greaterThan">
      <formula>0.24</formula>
    </cfRule>
  </conditionalFormatting>
  <conditionalFormatting sqref="X1:Z2 X8:Z1048576">
    <cfRule type="cellIs" dxfId="33" priority="6" operator="equal">
      <formula>"NOK"</formula>
    </cfRule>
    <cfRule type="cellIs" dxfId="32" priority="7" operator="equal">
      <formula>"OK"</formula>
    </cfRule>
  </conditionalFormatting>
  <conditionalFormatting sqref="AA3:AA7">
    <cfRule type="cellIs" dxfId="31" priority="3" operator="between">
      <formula>0.08</formula>
      <formula>0.24</formula>
    </cfRule>
    <cfRule type="cellIs" dxfId="30" priority="4" operator="lessThan">
      <formula>0.08</formula>
    </cfRule>
    <cfRule type="cellIs" dxfId="29" priority="5" operator="greaterThan">
      <formula>0.24</formula>
    </cfRule>
  </conditionalFormatting>
  <conditionalFormatting sqref="X3:Z7">
    <cfRule type="cellIs" dxfId="28" priority="1" operator="equal">
      <formula>"NOK"</formula>
    </cfRule>
    <cfRule type="cellIs" dxfId="27" priority="2" operator="equal">
      <formula>"OK"</formula>
    </cfRule>
  </conditionalFormatting>
  <pageMargins left="0.7" right="0.7" top="0.78740157499999996" bottom="0.78740157499999996" header="0.3" footer="0.3"/>
  <pageSetup paperSize="9" orientation="portrait" verticalDpi="0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lookup!$A:$A</xm:f>
          </x14:formula1>
          <xm:sqref>X2:X35</xm:sqref>
        </x14:dataValidation>
        <x14:dataValidation type="list" allowBlank="1" showInputMessage="1" showErrorMessage="1">
          <x14:formula1>
            <xm:f>lookup!$A$1:$A$2</xm:f>
          </x14:formula1>
          <xm:sqref>Y2:Y35</xm:sqref>
        </x14:dataValidation>
        <x14:dataValidation type="list" allowBlank="1" showInputMessage="1" showErrorMessage="1">
          <x14:formula1>
            <xm:f>lookup!$B$1:$B$3</xm:f>
          </x14:formula1>
          <xm:sqref>Z2:Z35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A3" sqref="A3"/>
    </sheetView>
  </sheetViews>
  <sheetFormatPr baseColWidth="10" defaultRowHeight="14.25" x14ac:dyDescent="0.2"/>
  <sheetData>
    <row r="1" spans="1:2" x14ac:dyDescent="0.2">
      <c r="A1" t="s">
        <v>21</v>
      </c>
      <c r="B1" t="s">
        <v>21</v>
      </c>
    </row>
    <row r="2" spans="1:2" x14ac:dyDescent="0.2">
      <c r="A2" t="s">
        <v>22</v>
      </c>
      <c r="B2" t="s">
        <v>22</v>
      </c>
    </row>
    <row r="3" spans="1:2" x14ac:dyDescent="0.2">
      <c r="B3" t="s">
        <v>30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C0-Build</vt:lpstr>
      <vt:lpstr>lookup</vt:lpstr>
    </vt:vector>
  </TitlesOfParts>
  <Company>MEKRA Lang GmbH &amp; Co.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Völler, Jonas</dc:creator>
  <cp:lastModifiedBy>Völler, Jonas</cp:lastModifiedBy>
  <dcterms:created xsi:type="dcterms:W3CDTF">2025-11-11T10:42:12Z</dcterms:created>
  <dcterms:modified xsi:type="dcterms:W3CDTF">2026-02-26T14:50:24Z</dcterms:modified>
</cp:coreProperties>
</file>