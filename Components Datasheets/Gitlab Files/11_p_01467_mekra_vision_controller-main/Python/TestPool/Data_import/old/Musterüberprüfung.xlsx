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einers\Documents\VC-Git\11_p_01467_mekra_vision_controller\Python\TestPool\Data_import\"/>
    </mc:Choice>
  </mc:AlternateContent>
  <xr:revisionPtr revIDLastSave="0" documentId="13_ncr:1_{F76BE5FD-EC59-47D0-A6E3-B767F910C6F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C0-Build" sheetId="1" r:id="rId1"/>
    <sheet name="loo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L24" i="1"/>
  <c r="L23" i="1"/>
  <c r="O23" i="1" s="1"/>
  <c r="Q23" i="1" s="1"/>
  <c r="L22" i="1"/>
  <c r="L21" i="1"/>
  <c r="L20" i="1"/>
  <c r="L19" i="1"/>
  <c r="L18" i="1"/>
  <c r="L17" i="1"/>
  <c r="L16" i="1"/>
  <c r="L15" i="1"/>
  <c r="O15" i="1" s="1"/>
  <c r="Q15" i="1" s="1"/>
  <c r="L14" i="1"/>
  <c r="O14" i="1" s="1"/>
  <c r="Q14" i="1" s="1"/>
  <c r="L13" i="1"/>
  <c r="L12" i="1"/>
  <c r="L11" i="1"/>
  <c r="O11" i="1" s="1"/>
  <c r="Q11" i="1" s="1"/>
  <c r="L10" i="1"/>
  <c r="L9" i="1"/>
  <c r="L8" i="1"/>
  <c r="L7" i="1"/>
  <c r="L6" i="1"/>
  <c r="L5" i="1"/>
  <c r="L4" i="1"/>
  <c r="O4" i="1" s="1"/>
  <c r="L3" i="1"/>
  <c r="O3" i="1" s="1"/>
  <c r="L2" i="1"/>
  <c r="O2" i="1" s="1"/>
  <c r="M2" i="1"/>
  <c r="M3" i="1"/>
  <c r="M4" i="1"/>
  <c r="M5" i="1"/>
  <c r="M6" i="1"/>
  <c r="M7" i="1"/>
  <c r="M8" i="1"/>
  <c r="M9" i="1"/>
  <c r="M10" i="1"/>
  <c r="R10" i="1" s="1"/>
  <c r="T10" i="1" s="1"/>
  <c r="M11" i="1"/>
  <c r="R11" i="1" s="1"/>
  <c r="T11" i="1" s="1"/>
  <c r="M12" i="1"/>
  <c r="U12" i="1" s="1"/>
  <c r="W12" i="1" s="1"/>
  <c r="M13" i="1"/>
  <c r="U13" i="1" s="1"/>
  <c r="W13" i="1" s="1"/>
  <c r="M14" i="1"/>
  <c r="M15" i="1"/>
  <c r="M16" i="1"/>
  <c r="M17" i="1"/>
  <c r="M18" i="1"/>
  <c r="M19" i="1"/>
  <c r="R19" i="1" s="1"/>
  <c r="T19" i="1" s="1"/>
  <c r="M20" i="1"/>
  <c r="R20" i="1" s="1"/>
  <c r="T20" i="1" s="1"/>
  <c r="M21" i="1"/>
  <c r="R21" i="1" s="1"/>
  <c r="T21" i="1" s="1"/>
  <c r="M22" i="1"/>
  <c r="R22" i="1" s="1"/>
  <c r="T22" i="1" s="1"/>
  <c r="M23" i="1"/>
  <c r="R23" i="1" s="1"/>
  <c r="T23" i="1" s="1"/>
  <c r="M24" i="1"/>
  <c r="R24" i="1" s="1"/>
  <c r="T24" i="1" s="1"/>
  <c r="M25" i="1"/>
  <c r="R25" i="1" s="1"/>
  <c r="T25" i="1" s="1"/>
  <c r="U16" i="1"/>
  <c r="W16" i="1" s="1"/>
  <c r="U15" i="1"/>
  <c r="W15" i="1" s="1"/>
  <c r="U9" i="1"/>
  <c r="W9" i="1" s="1"/>
  <c r="R3" i="1"/>
  <c r="T3" i="1" s="1"/>
  <c r="A19" i="1"/>
  <c r="A20" i="1"/>
  <c r="A21" i="1"/>
  <c r="A22" i="1"/>
  <c r="A23" i="1"/>
  <c r="A24" i="1"/>
  <c r="A25" i="1"/>
  <c r="O19" i="1"/>
  <c r="Q19" i="1" s="1"/>
  <c r="O20" i="1"/>
  <c r="Q20" i="1" s="1"/>
  <c r="O21" i="1"/>
  <c r="Q21" i="1" s="1"/>
  <c r="O22" i="1"/>
  <c r="Q22" i="1" s="1"/>
  <c r="O24" i="1"/>
  <c r="Q24" i="1" s="1"/>
  <c r="O25" i="1"/>
  <c r="Q25" i="1" s="1"/>
  <c r="O5" i="1"/>
  <c r="O16" i="1"/>
  <c r="Q16" i="1" s="1"/>
  <c r="O17" i="1"/>
  <c r="Q17" i="1" s="1"/>
  <c r="O7" i="1"/>
  <c r="Q7" i="1" s="1"/>
  <c r="O9" i="1"/>
  <c r="Q9" i="1" s="1"/>
  <c r="O10" i="1"/>
  <c r="Q10" i="1" s="1"/>
  <c r="O12" i="1"/>
  <c r="Q12" i="1" s="1"/>
  <c r="O13" i="1"/>
  <c r="Q13" i="1" s="1"/>
  <c r="O6" i="1"/>
  <c r="Q6" i="1" s="1"/>
  <c r="O18" i="1"/>
  <c r="Q18" i="1" s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U8" i="1"/>
  <c r="W8" i="1" s="1"/>
  <c r="U14" i="1"/>
  <c r="W14" i="1" s="1"/>
  <c r="U17" i="1"/>
  <c r="W17" i="1" s="1"/>
  <c r="O8" i="1"/>
  <c r="Q8" i="1" s="1"/>
  <c r="R6" i="1"/>
  <c r="T6" i="1" s="1"/>
  <c r="R7" i="1"/>
  <c r="T7" i="1" s="1"/>
  <c r="R18" i="1"/>
  <c r="T18" i="1" s="1"/>
  <c r="U6" i="1"/>
  <c r="W6" i="1" s="1"/>
  <c r="U7" i="1"/>
  <c r="W7" i="1" s="1"/>
  <c r="U18" i="1"/>
  <c r="W18" i="1" s="1"/>
  <c r="R2" i="1"/>
  <c r="T2" i="1" s="1"/>
  <c r="R4" i="1"/>
  <c r="T4" i="1" s="1"/>
  <c r="R5" i="1"/>
  <c r="T5" i="1" s="1"/>
  <c r="A2" i="1"/>
  <c r="A3" i="1"/>
  <c r="A4" i="1"/>
  <c r="A5" i="1"/>
  <c r="U25" i="1" l="1"/>
  <c r="W25" i="1" s="1"/>
  <c r="U24" i="1"/>
  <c r="W24" i="1" s="1"/>
  <c r="U23" i="1"/>
  <c r="W23" i="1" s="1"/>
  <c r="U22" i="1"/>
  <c r="W22" i="1" s="1"/>
  <c r="U21" i="1"/>
  <c r="W21" i="1" s="1"/>
  <c r="U20" i="1"/>
  <c r="W20" i="1" s="1"/>
  <c r="U19" i="1"/>
  <c r="W19" i="1" s="1"/>
  <c r="R17" i="1"/>
  <c r="T17" i="1" s="1"/>
  <c r="R16" i="1"/>
  <c r="T16" i="1" s="1"/>
  <c r="R15" i="1"/>
  <c r="T15" i="1" s="1"/>
  <c r="R14" i="1"/>
  <c r="T14" i="1" s="1"/>
  <c r="U11" i="1"/>
  <c r="W11" i="1" s="1"/>
  <c r="R9" i="1"/>
  <c r="T9" i="1" s="1"/>
  <c r="R13" i="1"/>
  <c r="T13" i="1" s="1"/>
  <c r="U10" i="1"/>
  <c r="W10" i="1" s="1"/>
  <c r="R8" i="1"/>
  <c r="T8" i="1" s="1"/>
  <c r="R12" i="1"/>
  <c r="T12" i="1" s="1"/>
  <c r="U5" i="1"/>
  <c r="W5" i="1" s="1"/>
  <c r="U4" i="1"/>
  <c r="W4" i="1" s="1"/>
  <c r="U3" i="1"/>
  <c r="W3" i="1" s="1"/>
  <c r="U2" i="1"/>
  <c r="W2" i="1" s="1"/>
  <c r="Q4" i="1"/>
  <c r="Q5" i="1"/>
  <c r="Q2" i="1"/>
  <c r="Q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Völler, Jonas</author>
  </authors>
  <commentList>
    <comment ref="S1" authorId="0" shapeId="0" xr:uid="{00000000-0006-0000-0000-000001000000}">
      <text>
        <r>
          <rPr>
            <b/>
            <sz val="9"/>
            <color indexed="81"/>
            <rFont val="Segoe UI"/>
            <family val="2"/>
          </rPr>
          <t>Völler, Jonas:</t>
        </r>
        <r>
          <rPr>
            <sz val="9"/>
            <color indexed="81"/>
            <rFont val="Segoe UI"/>
            <family val="2"/>
          </rPr>
          <t xml:space="preserve">
Configurationstring als ASCII aus Wireshark kopieren</t>
        </r>
      </text>
    </comment>
    <comment ref="V1" authorId="0" shapeId="0" xr:uid="{00000000-0006-0000-0000-000002000000}">
      <text>
        <r>
          <rPr>
            <b/>
            <sz val="9"/>
            <color indexed="81"/>
            <rFont val="Segoe UI"/>
            <family val="2"/>
          </rPr>
          <t>Völler, Jonas:</t>
        </r>
        <r>
          <rPr>
            <sz val="9"/>
            <color indexed="81"/>
            <rFont val="Segoe UI"/>
            <family val="2"/>
          </rPr>
          <t xml:space="preserve">
Payload als Wert kopieren</t>
        </r>
      </text>
    </comment>
  </commentList>
</comments>
</file>

<file path=xl/sharedStrings.xml><?xml version="1.0" encoding="utf-8"?>
<sst xmlns="http://schemas.openxmlformats.org/spreadsheetml/2006/main" count="176" uniqueCount="43">
  <si>
    <t>MEKRA-Nr.:</t>
  </si>
  <si>
    <t>Lfd.:</t>
  </si>
  <si>
    <t>Bezeichung:</t>
  </si>
  <si>
    <t>Volvo Nr.:</t>
  </si>
  <si>
    <t>Volvo Index / Rev.:</t>
  </si>
  <si>
    <t>PAR:</t>
  </si>
  <si>
    <t>MAC.Adresse:</t>
  </si>
  <si>
    <t>DMC identisch:</t>
  </si>
  <si>
    <t>SNr.:</t>
  </si>
  <si>
    <t>Datum:</t>
  </si>
  <si>
    <t>Configuration String aus SOME/IP-SD SOLL:</t>
  </si>
  <si>
    <t>Configuration String aus SOME/IP-SD IST:</t>
  </si>
  <si>
    <t>Devicetype:</t>
  </si>
  <si>
    <t>MAC 2:</t>
  </si>
  <si>
    <t>Configuration String identisch:</t>
  </si>
  <si>
    <t>Payload getCamIdentifikation (Wireshark) IST:</t>
  </si>
  <si>
    <t>Payload getCamIdentifikation (Wireshark) SOLL:</t>
  </si>
  <si>
    <t>subscribe Video stream 1</t>
  </si>
  <si>
    <t>subscribe Video stream 2</t>
  </si>
  <si>
    <t>snpn:</t>
  </si>
  <si>
    <t>OK</t>
  </si>
  <si>
    <t>NOK</t>
  </si>
  <si>
    <t>Powerconsumption (0,16A ±0,08A) in [A]
@28,0V @ RT</t>
  </si>
  <si>
    <t>Payload getCamIdentifikation identisch:</t>
  </si>
  <si>
    <t>Index Kamera:</t>
  </si>
  <si>
    <t>Volvo Nummer Kamera:</t>
  </si>
  <si>
    <t>DMC Kamera SOLL:</t>
  </si>
  <si>
    <t>DMC Kamera IST:</t>
  </si>
  <si>
    <t>Shutterfunktion 
wenn vorhanden:</t>
  </si>
  <si>
    <t>N/A</t>
  </si>
  <si>
    <t>rcam_2</t>
  </si>
  <si>
    <t>B03</t>
  </si>
  <si>
    <t>RLC Standard Kamera 1315 Rigid Side Mount VOLVO</t>
  </si>
  <si>
    <t>281315009001</t>
  </si>
  <si>
    <t>PAR10C1</t>
  </si>
  <si>
    <t>MCC Standard 1315 1Gbit VOLVO</t>
  </si>
  <si>
    <t>MCC Standard 1315 100Mbit VOLVO</t>
  </si>
  <si>
    <t>MCC Standard 1315 100Mbit RENAULT</t>
  </si>
  <si>
    <t>RLC Standard Kamera 1315 Tractor Side General VOLVO</t>
  </si>
  <si>
    <t>281315001000</t>
  </si>
  <si>
    <t>281315002000</t>
  </si>
  <si>
    <t>281315004000</t>
  </si>
  <si>
    <t>281315005001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</si>
</sst>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1"/>
      <color theme="1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Arial"/>
    </font>
    <font>
      <sz val="10"/>
      <name val="Arial"/>
      <family val="2"/>
    </font>
    <font>
      <sz val="11"/>
      <color rgb="FF9C0006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0" borderId="0"/>
    <xf numFmtId="0" fontId="7" fillId="2" borderId="0" applyNumberFormat="0" applyBorder="0" applyAlignment="0" applyProtection="0"/>
  </cellStyleXfs>
  <cellXfs count="13">
    <xf numFmtId="0" fontId="0" fillId="0" borderId="0" xfId="0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wrapText="1"/>
    </xf>
    <xf numFmtId="164" fontId="3" fillId="0" borderId="0" xfId="0" applyNumberFormat="1" applyFont="1" applyAlignment="1">
      <alignment wrapText="1"/>
    </xf>
    <xf numFmtId="164" fontId="4" fillId="0" borderId="0" xfId="0" applyNumberFormat="1" applyFont="1" applyAlignment="1">
      <alignment vertical="center"/>
    </xf>
    <xf numFmtId="164" fontId="3" fillId="0" borderId="0" xfId="0" applyNumberFormat="1" applyFont="1"/>
    <xf numFmtId="0" fontId="5" fillId="0" borderId="0" xfId="0" applyFont="1" applyAlignment="1">
      <alignment vertical="center"/>
    </xf>
    <xf numFmtId="0" fontId="0" fillId="0" borderId="0" xfId="0" quotePrefix="1"/>
    <xf numFmtId="0" fontId="5" fillId="3" borderId="0" xfId="0" applyFont="1" applyFill="1" applyAlignment="1">
      <alignment vertical="center"/>
    </xf>
    <xf numFmtId="0" fontId="5" fillId="0" borderId="0" xfId="0" applyNumberFormat="1" applyFont="1" applyAlignment="1">
      <alignment vertical="center"/>
    </xf>
  </cellXfs>
  <cellStyles count="3">
    <cellStyle name="Schlecht 2" xfId="2" xr:uid="{00000000-0005-0000-0000-000000000000}"/>
    <cellStyle name="Standard" xfId="0" builtinId="0"/>
    <cellStyle name="Standard 2" xfId="1" xr:uid="{00000000-0005-0000-0000-000002000000}"/>
  </cellStyles>
  <dxfs count="3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numFmt numFmtId="0" formatCode="General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scheme val="none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AA25" totalsRowShown="0" headerRowDxfId="38" dataDxfId="37">
  <autoFilter ref="A1:AA25" xr:uid="{00000000-0009-0000-0100-000001000000}"/>
  <tableColumns count="27">
    <tableColumn id="1" xr3:uid="{00000000-0010-0000-0000-000001000000}" name="Lfd.:" dataDxfId="36">
      <calculatedColumnFormula>ROW()-1</calculatedColumnFormula>
    </tableColumn>
    <tableColumn id="2" xr3:uid="{00000000-0010-0000-0000-000002000000}" name="MEKRA-Nr.:" dataDxfId="35"/>
    <tableColumn id="3" xr3:uid="{00000000-0010-0000-0000-000003000000}" name="Bezeichung:" dataDxfId="34"/>
    <tableColumn id="15" xr3:uid="{00000000-0010-0000-0000-00000F000000}" name="Devicetype:" dataDxfId="33"/>
    <tableColumn id="4" xr3:uid="{00000000-0010-0000-0000-000004000000}" name="Volvo Nr.:" dataDxfId="32"/>
    <tableColumn id="26" xr3:uid="{00000000-0010-0000-0000-00001A000000}" name="Volvo Nummer Kamera:"/>
    <tableColumn id="5" xr3:uid="{00000000-0010-0000-0000-000005000000}" name="Volvo Index / Rev.:" dataDxfId="31"/>
    <tableColumn id="25" xr3:uid="{00000000-0010-0000-0000-000019000000}" name="Index Kamera:"/>
    <tableColumn id="21" xr3:uid="{00000000-0010-0000-0000-000015000000}" name="snpn:" dataDxfId="30"/>
    <tableColumn id="6" xr3:uid="{00000000-0010-0000-0000-000006000000}" name="PAR:" dataDxfId="29"/>
    <tableColumn id="7" xr3:uid="{00000000-0010-0000-0000-000007000000}" name="SNr.:" dataDxfId="28"/>
    <tableColumn id="8" xr3:uid="{00000000-0010-0000-0000-000008000000}" name="MAC.Adresse:" dataDxfId="27">
      <calculatedColumnFormula>"98D3D2-00"&amp;DEC2HEX(K2)</calculatedColumnFormula>
    </tableColumn>
    <tableColumn id="16" xr3:uid="{00000000-0010-0000-0000-000010000000}" name="MAC 2:" dataDxfId="26">
      <calculatedColumnFormula>"98D3D200"&amp;DEC2HEX(K2)</calculatedColumnFormula>
    </tableColumn>
    <tableColumn id="12" xr3:uid="{00000000-0010-0000-0000-00000C000000}" name="Datum:" dataDxfId="25"/>
    <tableColumn id="9" xr3:uid="{00000000-0010-0000-0000-000009000000}" name="DMC Kamera SOLL:" dataDxfId="24">
      <calculatedColumnFormula>Tabelle1[[#This Row],[Volvo Nummer Kamera:]]&amp;"&amp;"&amp;Tabelle1[[#This Row],[Datum:]]&amp;"&amp;"&amp;Tabelle1[[#This Row],[SNr.:]]&amp;"&amp;"&amp;Tabelle1[[#This Row],[MAC.Adresse:]]&amp;"&amp;"&amp;Tabelle1[[#This Row],[Index Kamera:]]</calculatedColumnFormula>
    </tableColumn>
    <tableColumn id="10" xr3:uid="{00000000-0010-0000-0000-00000A000000}" name="DMC Kamera IST:" dataDxfId="23"/>
    <tableColumn id="11" xr3:uid="{00000000-0010-0000-0000-00000B000000}" name="DMC identisch:" dataDxfId="22">
      <calculatedColumnFormula>EXACT(Tabelle1[[#This Row],[DMC Kamera SOLL:]],Tabelle1[[#This Row],[DMC Kamera IST:]])</calculatedColumnFormula>
    </tableColumn>
    <tableColumn id="13" xr3:uid="{00000000-0010-0000-0000-00000D000000}" name="Configuration String aus SOME/IP-SD SOLL:" dataDxfId="21">
      <calculatedColumnFormula>"mac_address="&amp;Tabelle1[[#This Row],[MAC 2:]]&amp;"serial_nb=000"&amp;Tabelle1[[#This Row],[SNr.:]]&amp;"device_type="&amp;Tabelle1[[#This Row],[Devicetype:]]</calculatedColumnFormula>
    </tableColumn>
    <tableColumn id="14" xr3:uid="{00000000-0010-0000-0000-00000E000000}" name="Configuration String aus SOME/IP-SD IST:" dataDxfId="20"/>
    <tableColumn id="17" xr3:uid="{00000000-0010-0000-0000-000011000000}" name="Configuration String identisch:" dataDxfId="19">
      <calculatedColumnFormula>EXACT(Tabelle1[[#This Row],[Configuration String aus SOME/IP-SD SOLL:]],Tabelle1[[#This Row],[Configuration String aus SOME/IP-SD IST:]])</calculatedColumnFormula>
    </tableColumn>
    <tableColumn id="18" xr3:uid="{00000000-0010-0000-0000-000012000000}" name="Payload getCamIdentifikation (Wireshark) SOLL:" dataDxfId="18">
      <calculatedColumnFormula>Tabelle1[[#This Row],[snpn:]]&amp;"000"&amp;Tabelle1[[#This Row],[SNr.:]]&amp;LOWER(Tabelle1[[#This Row],[MAC 2:]])</calculatedColumnFormula>
    </tableColumn>
    <tableColumn id="19" xr3:uid="{00000000-0010-0000-0000-000013000000}" name="Payload getCamIdentifikation (Wireshark) IST:" dataDxfId="17"/>
    <tableColumn id="20" xr3:uid="{00000000-0010-0000-0000-000014000000}" name="Payload getCamIdentifikation identisch:" dataDxfId="16">
      <calculatedColumnFormula>EXACT(Tabelle1[[#This Row],[Payload getCamIdentifikation (Wireshark) SOLL:]],Tabelle1[[#This Row],[Payload getCamIdentifikation (Wireshark) IST:]])</calculatedColumnFormula>
    </tableColumn>
    <tableColumn id="22" xr3:uid="{00000000-0010-0000-0000-000016000000}" name="subscribe Video stream 1" dataDxfId="15"/>
    <tableColumn id="23" xr3:uid="{00000000-0010-0000-0000-000017000000}" name="subscribe Video stream 2" dataDxfId="14"/>
    <tableColumn id="27" xr3:uid="{00000000-0010-0000-0000-00001B000000}" name="Shutterfunktion _x000a_wenn vorhanden:" dataDxfId="13"/>
    <tableColumn id="24" xr3:uid="{00000000-0010-0000-0000-000018000000}" name="Powerconsumption (0,16A ±0,08A) in [A]_x000a_@28,0V @ RT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8"/>
  <sheetViews>
    <sheetView tabSelected="1" zoomScale="90" zoomScaleNormal="90" workbookViewId="0">
      <selection activeCell="O30" sqref="O30"/>
    </sheetView>
  </sheetViews>
  <sheetFormatPr baseColWidth="10" defaultRowHeight="15" x14ac:dyDescent="0.2"/>
  <cols>
    <col min="1" max="1" width="7.5" style="1" bestFit="1" customWidth="1"/>
    <col min="2" max="2" width="14.625" style="1" bestFit="1" customWidth="1"/>
    <col min="3" max="3" width="45.125" style="1" customWidth="1"/>
    <col min="4" max="4" width="14.75" style="1" bestFit="1" customWidth="1"/>
    <col min="5" max="5" width="12.625" style="1" bestFit="1" customWidth="1"/>
    <col min="6" max="6" width="11.375" style="1" customWidth="1"/>
    <col min="7" max="7" width="9.25" style="1" customWidth="1"/>
    <col min="8" max="8" width="11.25" style="1" bestFit="1" customWidth="1"/>
    <col min="9" max="9" width="12.375" style="1" bestFit="1" customWidth="1"/>
    <col min="10" max="10" width="10.125" style="1" bestFit="1" customWidth="1"/>
    <col min="11" max="11" width="8" style="1" bestFit="1" customWidth="1"/>
    <col min="12" max="12" width="16.75" style="1" bestFit="1" customWidth="1"/>
    <col min="13" max="13" width="15.75" style="1" bestFit="1" customWidth="1"/>
    <col min="14" max="14" width="15.5" style="1" customWidth="1"/>
    <col min="15" max="15" width="47.75" style="1" bestFit="1" customWidth="1"/>
    <col min="16" max="16" width="50.625" style="1" customWidth="1"/>
    <col min="17" max="17" width="17.75" style="1" bestFit="1" customWidth="1"/>
    <col min="18" max="18" width="70.625" style="1" hidden="1" customWidth="1"/>
    <col min="19" max="19" width="68" style="1" bestFit="1" customWidth="1"/>
    <col min="20" max="20" width="15.625" style="1" customWidth="1"/>
    <col min="21" max="21" width="40.625" style="1" hidden="1" customWidth="1"/>
    <col min="22" max="22" width="35.375" style="1" bestFit="1" customWidth="1"/>
    <col min="23" max="23" width="20.75" style="1" customWidth="1"/>
    <col min="24" max="25" width="12.625" style="1" customWidth="1"/>
    <col min="26" max="26" width="16.625" style="1" customWidth="1"/>
    <col min="27" max="27" width="20.625" style="8" customWidth="1"/>
    <col min="28" max="28" width="20.25" style="1" customWidth="1"/>
    <col min="29" max="16384" width="11" style="1"/>
  </cols>
  <sheetData>
    <row r="1" spans="1:27" s="3" customFormat="1" ht="45" x14ac:dyDescent="0.2">
      <c r="A1" s="3" t="s">
        <v>1</v>
      </c>
      <c r="B1" s="3" t="s">
        <v>0</v>
      </c>
      <c r="C1" s="3" t="s">
        <v>2</v>
      </c>
      <c r="D1" s="3" t="s">
        <v>12</v>
      </c>
      <c r="E1" s="3" t="s">
        <v>3</v>
      </c>
      <c r="F1" s="3" t="s">
        <v>25</v>
      </c>
      <c r="G1" s="3" t="s">
        <v>4</v>
      </c>
      <c r="H1" s="3" t="s">
        <v>24</v>
      </c>
      <c r="I1" s="3" t="s">
        <v>19</v>
      </c>
      <c r="J1" s="3" t="s">
        <v>5</v>
      </c>
      <c r="K1" s="3" t="s">
        <v>8</v>
      </c>
      <c r="L1" s="3" t="s">
        <v>6</v>
      </c>
      <c r="M1" s="3" t="s">
        <v>13</v>
      </c>
      <c r="N1" s="3" t="s">
        <v>9</v>
      </c>
      <c r="O1" s="3" t="s">
        <v>26</v>
      </c>
      <c r="P1" s="3" t="s">
        <v>27</v>
      </c>
      <c r="Q1" s="3" t="s">
        <v>7</v>
      </c>
      <c r="R1" s="3" t="s">
        <v>10</v>
      </c>
      <c r="S1" s="3" t="s">
        <v>11</v>
      </c>
      <c r="T1" s="3" t="s">
        <v>14</v>
      </c>
      <c r="U1" s="3" t="s">
        <v>16</v>
      </c>
      <c r="V1" s="3" t="s">
        <v>15</v>
      </c>
      <c r="W1" s="3" t="s">
        <v>23</v>
      </c>
      <c r="X1" s="5" t="s">
        <v>17</v>
      </c>
      <c r="Y1" s="5" t="s">
        <v>18</v>
      </c>
      <c r="Z1" s="5" t="s">
        <v>28</v>
      </c>
      <c r="AA1" s="6" t="s">
        <v>22</v>
      </c>
    </row>
    <row r="2" spans="1:27" x14ac:dyDescent="0.2">
      <c r="A2" s="2">
        <f t="shared" ref="A2:A5" si="0">ROW()-1</f>
        <v>1</v>
      </c>
      <c r="B2" s="10" t="s">
        <v>39</v>
      </c>
      <c r="C2" t="s">
        <v>35</v>
      </c>
      <c r="D2" s="2" t="s">
        <v>30</v>
      </c>
      <c r="E2">
        <v>24548571</v>
      </c>
      <c r="F2">
        <v>24548571</v>
      </c>
      <c r="G2" t="s">
        <v>31</v>
      </c>
      <c r="H2" t="s">
        <v>31</v>
      </c>
      <c r="I2">
        <v>4324548571</v>
      </c>
      <c r="J2" t="s">
        <v>34</v>
      </c>
      <c r="K2">
        <v>12618</v>
      </c>
      <c r="L2" t="str">
        <f t="shared" ref="L2:L25" si="1">"98D3D2-00"&amp;DEC2HEX(K2)</f>
        <v>98D3D2-00314A</v>
      </c>
      <c r="M2" s="2" t="str">
        <f t="shared" ref="M2:M5" si="2">"98D3D200"&amp;DEC2HEX(K2)</f>
        <v>98D3D200314A</v>
      </c>
      <c r="N2">
        <v>20260521</v>
      </c>
      <c r="O2" s="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24548571&amp;20260521&amp;12618&amp;98D3D2-00314A&amp;B03</v>
      </c>
      <c r="P2" s="2"/>
      <c r="Q2" s="2" t="b">
        <f>EXACT(Tabelle1[[#This Row],[DMC Kamera SOLL:]],Tabelle1[[#This Row],[DMC Kamera IST:]])</f>
        <v>0</v>
      </c>
      <c r="R2" s="2" t="str">
        <f>"mac_address="&amp;Tabelle1[[#This Row],[MAC 2:]]&amp;"serial_nb=000"&amp;Tabelle1[[#This Row],[SNr.:]]&amp;"device_type="&amp;Tabelle1[[#This Row],[Devicetype:]]</f>
        <v>mac_address=98D3D200314Aserial_nb=00012618device_type=rcam_2</v>
      </c>
      <c r="S2" s="2"/>
      <c r="T2" s="2" t="b">
        <f>EXACT(Tabelle1[[#This Row],[Configuration String aus SOME/IP-SD SOLL:]],Tabelle1[[#This Row],[Configuration String aus SOME/IP-SD IST:]])</f>
        <v>0</v>
      </c>
      <c r="U2" s="2" t="str">
        <f>Tabelle1[[#This Row],[snpn:]]&amp;"000"&amp;Tabelle1[[#This Row],[SNr.:]]&amp;LOWER(Tabelle1[[#This Row],[MAC 2:]])</f>
        <v>43245485710001261898d3d200314a</v>
      </c>
      <c r="V2" s="2"/>
      <c r="W2" s="2" t="b">
        <f>EXACT(Tabelle1[[#This Row],[Payload getCamIdentifikation (Wireshark) SOLL:]],Tabelle1[[#This Row],[Payload getCamIdentifikation (Wireshark) IST:]])</f>
        <v>0</v>
      </c>
      <c r="X2" s="4"/>
      <c r="Y2" s="4"/>
      <c r="Z2" s="4"/>
      <c r="AA2" s="7"/>
    </row>
    <row r="3" spans="1:27" x14ac:dyDescent="0.2">
      <c r="A3" s="2">
        <f t="shared" si="0"/>
        <v>2</v>
      </c>
      <c r="B3" s="10" t="s">
        <v>39</v>
      </c>
      <c r="C3" t="s">
        <v>35</v>
      </c>
      <c r="D3" s="2" t="s">
        <v>30</v>
      </c>
      <c r="E3">
        <v>24548571</v>
      </c>
      <c r="F3">
        <v>24548571</v>
      </c>
      <c r="G3" t="s">
        <v>31</v>
      </c>
      <c r="H3" t="s">
        <v>31</v>
      </c>
      <c r="I3">
        <v>4324548571</v>
      </c>
      <c r="J3" t="s">
        <v>34</v>
      </c>
      <c r="K3">
        <v>12619</v>
      </c>
      <c r="L3" t="str">
        <f t="shared" si="1"/>
        <v>98D3D2-00314B</v>
      </c>
      <c r="M3" s="2" t="str">
        <f t="shared" si="2"/>
        <v>98D3D200314B</v>
      </c>
      <c r="N3">
        <v>20260521</v>
      </c>
      <c r="O3" s="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24548571&amp;20260521&amp;12619&amp;98D3D2-00314B&amp;B03</v>
      </c>
      <c r="P3" s="2"/>
      <c r="Q3" s="2" t="b">
        <f>EXACT(Tabelle1[[#This Row],[DMC Kamera SOLL:]],Tabelle1[[#This Row],[DMC Kamera IST:]])</f>
        <v>0</v>
      </c>
      <c r="R3" s="2" t="str">
        <f>"mac_address="&amp;Tabelle1[[#This Row],[MAC 2:]]&amp;"serial_nb=000"&amp;Tabelle1[[#This Row],[SNr.:]]&amp;"device_type="&amp;Tabelle1[[#This Row],[Devicetype:]]</f>
        <v>mac_address=98D3D200314Bserial_nb=00012619device_type=rcam_2</v>
      </c>
      <c r="S3" s="2"/>
      <c r="T3" s="2" t="b">
        <f>EXACT(Tabelle1[[#This Row],[Configuration String aus SOME/IP-SD SOLL:]],Tabelle1[[#This Row],[Configuration String aus SOME/IP-SD IST:]])</f>
        <v>0</v>
      </c>
      <c r="U3" s="2" t="str">
        <f>Tabelle1[[#This Row],[snpn:]]&amp;"000"&amp;Tabelle1[[#This Row],[SNr.:]]&amp;LOWER(Tabelle1[[#This Row],[MAC 2:]])</f>
        <v>43245485710001261998d3d200314b</v>
      </c>
      <c r="V3" s="2"/>
      <c r="W3" s="2" t="b">
        <f>EXACT(Tabelle1[[#This Row],[Payload getCamIdentifikation (Wireshark) SOLL:]],Tabelle1[[#This Row],[Payload getCamIdentifikation (Wireshark) IST:]])</f>
        <v>0</v>
      </c>
      <c r="X3" s="4"/>
      <c r="Y3" s="4"/>
      <c r="Z3" s="4"/>
      <c r="AA3" s="7"/>
    </row>
    <row r="4" spans="1:27" x14ac:dyDescent="0.2">
      <c r="A4" s="2">
        <f t="shared" si="0"/>
        <v>3</v>
      </c>
      <c r="B4" s="10" t="s">
        <v>39</v>
      </c>
      <c r="C4" t="s">
        <v>35</v>
      </c>
      <c r="D4" s="2" t="s">
        <v>30</v>
      </c>
      <c r="E4">
        <v>24548571</v>
      </c>
      <c r="F4">
        <v>24548571</v>
      </c>
      <c r="G4" t="s">
        <v>31</v>
      </c>
      <c r="H4" t="s">
        <v>31</v>
      </c>
      <c r="I4">
        <v>4324548571</v>
      </c>
      <c r="J4" t="s">
        <v>34</v>
      </c>
      <c r="K4">
        <v>12620</v>
      </c>
      <c r="L4" t="str">
        <f t="shared" si="1"/>
        <v>98D3D2-00314C</v>
      </c>
      <c r="M4" s="2" t="str">
        <f t="shared" si="2"/>
        <v>98D3D200314C</v>
      </c>
      <c r="N4">
        <v>20260521</v>
      </c>
      <c r="O4" s="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24548571&amp;20260521&amp;12620&amp;98D3D2-00314C&amp;B03</v>
      </c>
      <c r="P4" s="2"/>
      <c r="Q4" s="2" t="b">
        <f>EXACT(Tabelle1[[#This Row],[DMC Kamera SOLL:]],Tabelle1[[#This Row],[DMC Kamera IST:]])</f>
        <v>0</v>
      </c>
      <c r="R4" s="2" t="str">
        <f>"mac_address="&amp;Tabelle1[[#This Row],[MAC 2:]]&amp;"serial_nb=000"&amp;Tabelle1[[#This Row],[SNr.:]]&amp;"device_type="&amp;Tabelle1[[#This Row],[Devicetype:]]</f>
        <v>mac_address=98D3D200314Cserial_nb=00012620device_type=rcam_2</v>
      </c>
      <c r="S4" s="2"/>
      <c r="T4" s="2" t="b">
        <f>EXACT(Tabelle1[[#This Row],[Configuration String aus SOME/IP-SD SOLL:]],Tabelle1[[#This Row],[Configuration String aus SOME/IP-SD IST:]])</f>
        <v>0</v>
      </c>
      <c r="U4" s="2" t="str">
        <f>Tabelle1[[#This Row],[snpn:]]&amp;"000"&amp;Tabelle1[[#This Row],[SNr.:]]&amp;LOWER(Tabelle1[[#This Row],[MAC 2:]])</f>
        <v>43245485710001262098d3d200314c</v>
      </c>
      <c r="V4" s="2"/>
      <c r="W4" s="2" t="b">
        <f>EXACT(Tabelle1[[#This Row],[Payload getCamIdentifikation (Wireshark) SOLL:]],Tabelle1[[#This Row],[Payload getCamIdentifikation (Wireshark) IST:]])</f>
        <v>0</v>
      </c>
      <c r="X4" s="4"/>
      <c r="Y4" s="4"/>
      <c r="Z4" s="4"/>
      <c r="AA4" s="7"/>
    </row>
    <row r="5" spans="1:27" x14ac:dyDescent="0.2">
      <c r="A5" s="2">
        <f t="shared" si="0"/>
        <v>4</v>
      </c>
      <c r="B5" s="10" t="s">
        <v>39</v>
      </c>
      <c r="C5" t="s">
        <v>35</v>
      </c>
      <c r="D5" s="2" t="s">
        <v>30</v>
      </c>
      <c r="E5">
        <v>24548571</v>
      </c>
      <c r="F5">
        <v>24548571</v>
      </c>
      <c r="G5" t="s">
        <v>31</v>
      </c>
      <c r="H5" t="s">
        <v>31</v>
      </c>
      <c r="I5">
        <v>4324548571</v>
      </c>
      <c r="J5" t="s">
        <v>34</v>
      </c>
      <c r="K5">
        <v>12621</v>
      </c>
      <c r="L5" t="str">
        <f t="shared" si="1"/>
        <v>98D3D2-00314D</v>
      </c>
      <c r="M5" s="2" t="str">
        <f t="shared" si="2"/>
        <v>98D3D200314D</v>
      </c>
      <c r="N5">
        <v>20260521</v>
      </c>
      <c r="O5" s="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24548571&amp;20260521&amp;12621&amp;98D3D2-00314D&amp;B03</v>
      </c>
      <c r="P5" s="2"/>
      <c r="Q5" s="2" t="b">
        <f>EXACT(Tabelle1[[#This Row],[DMC Kamera SOLL:]],Tabelle1[[#This Row],[DMC Kamera IST:]])</f>
        <v>0</v>
      </c>
      <c r="R5" s="2" t="str">
        <f>"mac_address="&amp;Tabelle1[[#This Row],[MAC 2:]]&amp;"serial_nb=000"&amp;Tabelle1[[#This Row],[SNr.:]]&amp;"device_type="&amp;Tabelle1[[#This Row],[Devicetype:]]</f>
        <v>mac_address=98D3D200314Dserial_nb=00012621device_type=rcam_2</v>
      </c>
      <c r="S5" s="2"/>
      <c r="T5" s="2" t="b">
        <f>EXACT(Tabelle1[[#This Row],[Configuration String aus SOME/IP-SD SOLL:]],Tabelle1[[#This Row],[Configuration String aus SOME/IP-SD IST:]])</f>
        <v>0</v>
      </c>
      <c r="U5" s="2" t="str">
        <f>Tabelle1[[#This Row],[snpn:]]&amp;"000"&amp;Tabelle1[[#This Row],[SNr.:]]&amp;LOWER(Tabelle1[[#This Row],[MAC 2:]])</f>
        <v>43245485710001262198d3d200314d</v>
      </c>
      <c r="V5" s="2"/>
      <c r="W5" s="2" t="b">
        <f>EXACT(Tabelle1[[#This Row],[Payload getCamIdentifikation (Wireshark) SOLL:]],Tabelle1[[#This Row],[Payload getCamIdentifikation (Wireshark) IST:]])</f>
        <v>0</v>
      </c>
      <c r="X5" s="4"/>
      <c r="Y5" s="4"/>
      <c r="Z5" s="4"/>
      <c r="AA5" s="7"/>
    </row>
    <row r="6" spans="1:27" x14ac:dyDescent="0.2">
      <c r="A6" s="9">
        <f t="shared" ref="A6:A18" si="3">ROW()-1</f>
        <v>5</v>
      </c>
      <c r="B6" s="10" t="s">
        <v>40</v>
      </c>
      <c r="C6" t="s">
        <v>36</v>
      </c>
      <c r="D6" s="2" t="s">
        <v>30</v>
      </c>
      <c r="E6">
        <v>24815789</v>
      </c>
      <c r="F6">
        <v>24815789</v>
      </c>
      <c r="G6" t="s">
        <v>31</v>
      </c>
      <c r="H6" t="s">
        <v>31</v>
      </c>
      <c r="I6">
        <v>4324815789</v>
      </c>
      <c r="J6" t="s">
        <v>34</v>
      </c>
      <c r="K6">
        <v>12646</v>
      </c>
      <c r="L6" t="str">
        <f t="shared" si="1"/>
        <v>98D3D2-003166</v>
      </c>
      <c r="M6" s="9" t="str">
        <f t="shared" ref="M6:M18" si="4">"98D3D200"&amp;DEC2HEX(K6)</f>
        <v>98D3D2003166</v>
      </c>
      <c r="N6">
        <v>20260521</v>
      </c>
      <c r="O6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24815789&amp;20260521&amp;12646&amp;98D3D2-003166&amp;B03</v>
      </c>
      <c r="P6" s="9"/>
      <c r="Q6" s="9" t="b">
        <f>EXACT(Tabelle1[[#This Row],[DMC Kamera SOLL:]],Tabelle1[[#This Row],[DMC Kamera IST:]])</f>
        <v>0</v>
      </c>
      <c r="R6" s="9" t="str">
        <f>"mac_address="&amp;Tabelle1[[#This Row],[MAC 2:]]&amp;"serial_nb=000"&amp;Tabelle1[[#This Row],[SNr.:]]&amp;"device_type="&amp;Tabelle1[[#This Row],[Devicetype:]]</f>
        <v>mac_address=98D3D2003166serial_nb=00012646device_type=rcam_2</v>
      </c>
      <c r="S6" s="9"/>
      <c r="T6" s="9" t="b">
        <f>EXACT(Tabelle1[[#This Row],[Configuration String aus SOME/IP-SD SOLL:]],Tabelle1[[#This Row],[Configuration String aus SOME/IP-SD IST:]])</f>
        <v>0</v>
      </c>
      <c r="U6" s="9" t="str">
        <f>Tabelle1[[#This Row],[snpn:]]&amp;"000"&amp;Tabelle1[[#This Row],[SNr.:]]&amp;LOWER(Tabelle1[[#This Row],[MAC 2:]])</f>
        <v>43248157890001264698d3d2003166</v>
      </c>
      <c r="V6" s="9"/>
      <c r="W6" s="9" t="b">
        <f>EXACT(Tabelle1[[#This Row],[Payload getCamIdentifikation (Wireshark) SOLL:]],Tabelle1[[#This Row],[Payload getCamIdentifikation (Wireshark) IST:]])</f>
        <v>0</v>
      </c>
      <c r="X6" s="9"/>
      <c r="Y6" s="9"/>
      <c r="Z6" s="9"/>
      <c r="AA6" s="9"/>
    </row>
    <row r="7" spans="1:27" x14ac:dyDescent="0.2">
      <c r="A7" s="9">
        <f t="shared" si="3"/>
        <v>6</v>
      </c>
      <c r="B7" s="10" t="s">
        <v>40</v>
      </c>
      <c r="C7" t="s">
        <v>36</v>
      </c>
      <c r="D7" s="2" t="s">
        <v>30</v>
      </c>
      <c r="E7">
        <v>24815789</v>
      </c>
      <c r="F7">
        <v>24815789</v>
      </c>
      <c r="G7" t="s">
        <v>31</v>
      </c>
      <c r="H7" t="s">
        <v>31</v>
      </c>
      <c r="I7">
        <v>4324815789</v>
      </c>
      <c r="J7" t="s">
        <v>34</v>
      </c>
      <c r="K7">
        <v>12647</v>
      </c>
      <c r="L7" t="str">
        <f t="shared" si="1"/>
        <v>98D3D2-003167</v>
      </c>
      <c r="M7" s="9" t="str">
        <f t="shared" si="4"/>
        <v>98D3D2003167</v>
      </c>
      <c r="N7">
        <v>20260521</v>
      </c>
      <c r="O7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24815789&amp;20260521&amp;12647&amp;98D3D2-003167&amp;B03</v>
      </c>
      <c r="P7" s="9"/>
      <c r="Q7" s="9" t="b">
        <f>EXACT(Tabelle1[[#This Row],[DMC Kamera SOLL:]],Tabelle1[[#This Row],[DMC Kamera IST:]])</f>
        <v>0</v>
      </c>
      <c r="R7" s="9" t="str">
        <f>"mac_address="&amp;Tabelle1[[#This Row],[MAC 2:]]&amp;"serial_nb=000"&amp;Tabelle1[[#This Row],[SNr.:]]&amp;"device_type="&amp;Tabelle1[[#This Row],[Devicetype:]]</f>
        <v>mac_address=98D3D2003167serial_nb=00012647device_type=rcam_2</v>
      </c>
      <c r="S7" s="9"/>
      <c r="T7" s="9" t="b">
        <f>EXACT(Tabelle1[[#This Row],[Configuration String aus SOME/IP-SD SOLL:]],Tabelle1[[#This Row],[Configuration String aus SOME/IP-SD IST:]])</f>
        <v>0</v>
      </c>
      <c r="U7" s="9" t="str">
        <f>Tabelle1[[#This Row],[snpn:]]&amp;"000"&amp;Tabelle1[[#This Row],[SNr.:]]&amp;LOWER(Tabelle1[[#This Row],[MAC 2:]])</f>
        <v>43248157890001264798d3d2003167</v>
      </c>
      <c r="V7" s="9"/>
      <c r="W7" s="9" t="b">
        <f>EXACT(Tabelle1[[#This Row],[Payload getCamIdentifikation (Wireshark) SOLL:]],Tabelle1[[#This Row],[Payload getCamIdentifikation (Wireshark) IST:]])</f>
        <v>0</v>
      </c>
      <c r="X7" s="9"/>
      <c r="Y7" s="9"/>
      <c r="Z7" s="9"/>
      <c r="AA7" s="9"/>
    </row>
    <row r="8" spans="1:27" x14ac:dyDescent="0.2">
      <c r="A8" s="9">
        <f t="shared" si="3"/>
        <v>7</v>
      </c>
      <c r="B8" s="10" t="s">
        <v>40</v>
      </c>
      <c r="C8" t="s">
        <v>36</v>
      </c>
      <c r="D8" s="2" t="s">
        <v>30</v>
      </c>
      <c r="E8">
        <v>24815789</v>
      </c>
      <c r="F8">
        <v>24815789</v>
      </c>
      <c r="G8" t="s">
        <v>31</v>
      </c>
      <c r="H8" t="s">
        <v>31</v>
      </c>
      <c r="I8">
        <v>4324815789</v>
      </c>
      <c r="J8" t="s">
        <v>34</v>
      </c>
      <c r="K8">
        <v>12648</v>
      </c>
      <c r="L8" t="str">
        <f t="shared" si="1"/>
        <v>98D3D2-003168</v>
      </c>
      <c r="M8" s="9" t="str">
        <f t="shared" si="4"/>
        <v>98D3D2003168</v>
      </c>
      <c r="N8">
        <v>20260521</v>
      </c>
      <c r="O8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24815789&amp;20260521&amp;12648&amp;98D3D2-003168&amp;B03</v>
      </c>
      <c r="P8" s="9"/>
      <c r="Q8" s="9" t="b">
        <f>EXACT(Tabelle1[[#This Row],[DMC Kamera SOLL:]],Tabelle1[[#This Row],[DMC Kamera IST:]])</f>
        <v>0</v>
      </c>
      <c r="R8" s="9" t="str">
        <f>"mac_address="&amp;Tabelle1[[#This Row],[MAC 2:]]&amp;"serial_nb=000"&amp;Tabelle1[[#This Row],[SNr.:]]&amp;"device_type="&amp;Tabelle1[[#This Row],[Devicetype:]]</f>
        <v>mac_address=98D3D2003168serial_nb=00012648device_type=rcam_2</v>
      </c>
      <c r="S8" s="9"/>
      <c r="T8" s="9" t="b">
        <f>EXACT(Tabelle1[[#This Row],[Configuration String aus SOME/IP-SD SOLL:]],Tabelle1[[#This Row],[Configuration String aus SOME/IP-SD IST:]])</f>
        <v>0</v>
      </c>
      <c r="U8" s="9" t="str">
        <f>Tabelle1[[#This Row],[snpn:]]&amp;"000"&amp;Tabelle1[[#This Row],[SNr.:]]&amp;LOWER(Tabelle1[[#This Row],[MAC 2:]])</f>
        <v>43248157890001264898d3d2003168</v>
      </c>
      <c r="V8" s="9"/>
      <c r="W8" s="9" t="b">
        <f>EXACT(Tabelle1[[#This Row],[Payload getCamIdentifikation (Wireshark) SOLL:]],Tabelle1[[#This Row],[Payload getCamIdentifikation (Wireshark) IST:]])</f>
        <v>0</v>
      </c>
      <c r="X8" s="9"/>
      <c r="Y8" s="9"/>
      <c r="Z8" s="9"/>
      <c r="AA8" s="9"/>
    </row>
    <row r="9" spans="1:27" x14ac:dyDescent="0.2">
      <c r="A9" s="9">
        <f t="shared" si="3"/>
        <v>8</v>
      </c>
      <c r="B9" s="10" t="s">
        <v>41</v>
      </c>
      <c r="C9" t="s">
        <v>37</v>
      </c>
      <c r="D9" s="2" t="s">
        <v>30</v>
      </c>
      <c r="E9">
        <v>24916869</v>
      </c>
      <c r="F9">
        <v>24916869</v>
      </c>
      <c r="G9" t="s">
        <v>31</v>
      </c>
      <c r="H9" t="s">
        <v>31</v>
      </c>
      <c r="I9">
        <v>4324916869</v>
      </c>
      <c r="J9" t="s">
        <v>34</v>
      </c>
      <c r="K9">
        <v>12649</v>
      </c>
      <c r="L9" t="str">
        <f t="shared" si="1"/>
        <v>98D3D2-003169</v>
      </c>
      <c r="M9" s="9" t="str">
        <f t="shared" si="4"/>
        <v>98D3D2003169</v>
      </c>
      <c r="N9">
        <v>20260521</v>
      </c>
      <c r="O9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24916869&amp;20260521&amp;12649&amp;98D3D2-003169&amp;B03</v>
      </c>
      <c r="P9" s="9"/>
      <c r="Q9" s="9" t="b">
        <f>EXACT(Tabelle1[[#This Row],[DMC Kamera SOLL:]],Tabelle1[[#This Row],[DMC Kamera IST:]])</f>
        <v>0</v>
      </c>
      <c r="R9" s="9" t="str">
        <f>"mac_address="&amp;Tabelle1[[#This Row],[MAC 2:]]&amp;"serial_nb=000"&amp;Tabelle1[[#This Row],[SNr.:]]&amp;"device_type="&amp;Tabelle1[[#This Row],[Devicetype:]]</f>
        <v>mac_address=98D3D2003169serial_nb=00012649device_type=rcam_2</v>
      </c>
      <c r="S9" s="9"/>
      <c r="T9" s="9" t="b">
        <f>EXACT(Tabelle1[[#This Row],[Configuration String aus SOME/IP-SD SOLL:]],Tabelle1[[#This Row],[Configuration String aus SOME/IP-SD IST:]])</f>
        <v>0</v>
      </c>
      <c r="U9" s="9" t="str">
        <f>Tabelle1[[#This Row],[snpn:]]&amp;"000"&amp;Tabelle1[[#This Row],[SNr.:]]&amp;LOWER(Tabelle1[[#This Row],[MAC 2:]])</f>
        <v>43249168690001264998d3d2003169</v>
      </c>
      <c r="V9" s="9"/>
      <c r="W9" s="9" t="b">
        <f>EXACT(Tabelle1[[#This Row],[Payload getCamIdentifikation (Wireshark) SOLL:]],Tabelle1[[#This Row],[Payload getCamIdentifikation (Wireshark) IST:]])</f>
        <v>0</v>
      </c>
      <c r="X9" s="9"/>
      <c r="Y9" s="9"/>
      <c r="Z9" s="9"/>
      <c r="AA9" s="9"/>
    </row>
    <row r="10" spans="1:27" x14ac:dyDescent="0.2">
      <c r="A10" s="9">
        <f t="shared" si="3"/>
        <v>9</v>
      </c>
      <c r="B10" s="10" t="s">
        <v>41</v>
      </c>
      <c r="C10" t="s">
        <v>37</v>
      </c>
      <c r="D10" s="2" t="s">
        <v>30</v>
      </c>
      <c r="E10">
        <v>24916869</v>
      </c>
      <c r="F10">
        <v>24916869</v>
      </c>
      <c r="G10" t="s">
        <v>31</v>
      </c>
      <c r="H10" t="s">
        <v>31</v>
      </c>
      <c r="I10">
        <v>4324916869</v>
      </c>
      <c r="J10" t="s">
        <v>34</v>
      </c>
      <c r="K10">
        <v>12650</v>
      </c>
      <c r="L10" t="str">
        <f t="shared" si="1"/>
        <v>98D3D2-00316A</v>
      </c>
      <c r="M10" s="9" t="str">
        <f t="shared" si="4"/>
        <v>98D3D200316A</v>
      </c>
      <c r="N10">
        <v>20260521</v>
      </c>
      <c r="O10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24916869&amp;20260521&amp;12650&amp;98D3D2-00316A&amp;B03</v>
      </c>
      <c r="P10" s="9"/>
      <c r="Q10" s="9" t="b">
        <f>EXACT(Tabelle1[[#This Row],[DMC Kamera SOLL:]],Tabelle1[[#This Row],[DMC Kamera IST:]])</f>
        <v>0</v>
      </c>
      <c r="R10" s="9" t="str">
        <f>"mac_address="&amp;Tabelle1[[#This Row],[MAC 2:]]&amp;"serial_nb=000"&amp;Tabelle1[[#This Row],[SNr.:]]&amp;"device_type="&amp;Tabelle1[[#This Row],[Devicetype:]]</f>
        <v>mac_address=98D3D200316Aserial_nb=00012650device_type=rcam_2</v>
      </c>
      <c r="S10" s="9"/>
      <c r="T10" s="9" t="b">
        <f>EXACT(Tabelle1[[#This Row],[Configuration String aus SOME/IP-SD SOLL:]],Tabelle1[[#This Row],[Configuration String aus SOME/IP-SD IST:]])</f>
        <v>0</v>
      </c>
      <c r="U10" s="9" t="str">
        <f>Tabelle1[[#This Row],[snpn:]]&amp;"000"&amp;Tabelle1[[#This Row],[SNr.:]]&amp;LOWER(Tabelle1[[#This Row],[MAC 2:]])</f>
        <v>43249168690001265098d3d200316a</v>
      </c>
      <c r="V10" s="9"/>
      <c r="W10" s="9" t="b">
        <f>EXACT(Tabelle1[[#This Row],[Payload getCamIdentifikation (Wireshark) SOLL:]],Tabelle1[[#This Row],[Payload getCamIdentifikation (Wireshark) IST:]])</f>
        <v>0</v>
      </c>
      <c r="X10" s="9"/>
      <c r="Y10" s="9"/>
      <c r="Z10" s="9"/>
      <c r="AA10" s="9"/>
    </row>
    <row r="11" spans="1:27" x14ac:dyDescent="0.2">
      <c r="A11" s="9">
        <f t="shared" si="3"/>
        <v>10</v>
      </c>
      <c r="B11" s="10" t="s">
        <v>41</v>
      </c>
      <c r="C11" t="s">
        <v>37</v>
      </c>
      <c r="D11" s="2" t="s">
        <v>30</v>
      </c>
      <c r="E11">
        <v>24916869</v>
      </c>
      <c r="F11">
        <v>24916869</v>
      </c>
      <c r="G11" t="s">
        <v>31</v>
      </c>
      <c r="H11" t="s">
        <v>31</v>
      </c>
      <c r="I11">
        <v>4324916869</v>
      </c>
      <c r="J11" t="s">
        <v>34</v>
      </c>
      <c r="K11">
        <v>12651</v>
      </c>
      <c r="L11" t="str">
        <f t="shared" si="1"/>
        <v>98D3D2-00316B</v>
      </c>
      <c r="M11" s="9" t="str">
        <f t="shared" si="4"/>
        <v>98D3D200316B</v>
      </c>
      <c r="N11">
        <v>20260521</v>
      </c>
      <c r="O11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24916869&amp;20260521&amp;12651&amp;98D3D2-00316B&amp;B03</v>
      </c>
      <c r="P11" s="9"/>
      <c r="Q11" s="9" t="b">
        <f>EXACT(Tabelle1[[#This Row],[DMC Kamera SOLL:]],Tabelle1[[#This Row],[DMC Kamera IST:]])</f>
        <v>0</v>
      </c>
      <c r="R11" s="9" t="str">
        <f>"mac_address="&amp;Tabelle1[[#This Row],[MAC 2:]]&amp;"serial_nb=000"&amp;Tabelle1[[#This Row],[SNr.:]]&amp;"device_type="&amp;Tabelle1[[#This Row],[Devicetype:]]</f>
        <v>mac_address=98D3D200316Bserial_nb=00012651device_type=rcam_2</v>
      </c>
      <c r="S11" s="9"/>
      <c r="T11" s="9" t="b">
        <f>EXACT(Tabelle1[[#This Row],[Configuration String aus SOME/IP-SD SOLL:]],Tabelle1[[#This Row],[Configuration String aus SOME/IP-SD IST:]])</f>
        <v>0</v>
      </c>
      <c r="U11" s="9" t="str">
        <f>Tabelle1[[#This Row],[snpn:]]&amp;"000"&amp;Tabelle1[[#This Row],[SNr.:]]&amp;LOWER(Tabelle1[[#This Row],[MAC 2:]])</f>
        <v>43249168690001265198d3d200316b</v>
      </c>
      <c r="V11" s="9"/>
      <c r="W11" s="9" t="b">
        <f>EXACT(Tabelle1[[#This Row],[Payload getCamIdentifikation (Wireshark) SOLL:]],Tabelle1[[#This Row],[Payload getCamIdentifikation (Wireshark) IST:]])</f>
        <v>0</v>
      </c>
      <c r="X11" s="9"/>
      <c r="Y11" s="9"/>
      <c r="Z11" s="9"/>
      <c r="AA11" s="9"/>
    </row>
    <row r="12" spans="1:27" x14ac:dyDescent="0.2">
      <c r="A12" s="9">
        <f t="shared" si="3"/>
        <v>11</v>
      </c>
      <c r="B12" s="10" t="s">
        <v>40</v>
      </c>
      <c r="C12" t="s">
        <v>36</v>
      </c>
      <c r="D12" s="2" t="s">
        <v>30</v>
      </c>
      <c r="E12">
        <v>24815789</v>
      </c>
      <c r="F12">
        <v>24815789</v>
      </c>
      <c r="G12" t="s">
        <v>31</v>
      </c>
      <c r="H12" t="s">
        <v>31</v>
      </c>
      <c r="I12">
        <v>4324815789</v>
      </c>
      <c r="J12" t="s">
        <v>34</v>
      </c>
      <c r="K12">
        <v>12652</v>
      </c>
      <c r="L12" t="str">
        <f t="shared" si="1"/>
        <v>98D3D2-00316C</v>
      </c>
      <c r="M12" s="9" t="str">
        <f t="shared" si="4"/>
        <v>98D3D200316C</v>
      </c>
      <c r="N12">
        <v>20260521</v>
      </c>
      <c r="O12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24815789&amp;20260521&amp;12652&amp;98D3D2-00316C&amp;B03</v>
      </c>
      <c r="P12" s="9"/>
      <c r="Q12" s="9" t="b">
        <f>EXACT(Tabelle1[[#This Row],[DMC Kamera SOLL:]],Tabelle1[[#This Row],[DMC Kamera IST:]])</f>
        <v>0</v>
      </c>
      <c r="R12" s="9" t="str">
        <f>"mac_address="&amp;Tabelle1[[#This Row],[MAC 2:]]&amp;"serial_nb=000"&amp;Tabelle1[[#This Row],[SNr.:]]&amp;"device_type="&amp;Tabelle1[[#This Row],[Devicetype:]]</f>
        <v>mac_address=98D3D200316Cserial_nb=00012652device_type=rcam_2</v>
      </c>
      <c r="S12" s="9"/>
      <c r="T12" s="9" t="b">
        <f>EXACT(Tabelle1[[#This Row],[Configuration String aus SOME/IP-SD SOLL:]],Tabelle1[[#This Row],[Configuration String aus SOME/IP-SD IST:]])</f>
        <v>0</v>
      </c>
      <c r="U12" s="9" t="str">
        <f>Tabelle1[[#This Row],[snpn:]]&amp;"000"&amp;Tabelle1[[#This Row],[SNr.:]]&amp;LOWER(Tabelle1[[#This Row],[MAC 2:]])</f>
        <v>43248157890001265298d3d200316c</v>
      </c>
      <c r="V12" s="9"/>
      <c r="W12" s="9" t="b">
        <f>EXACT(Tabelle1[[#This Row],[Payload getCamIdentifikation (Wireshark) SOLL:]],Tabelle1[[#This Row],[Payload getCamIdentifikation (Wireshark) IST:]])</f>
        <v>0</v>
      </c>
      <c r="X12" s="9"/>
      <c r="Y12" s="9"/>
      <c r="Z12" s="9"/>
      <c r="AA12" s="9"/>
    </row>
    <row r="13" spans="1:27" x14ac:dyDescent="0.2">
      <c r="A13" s="9">
        <f t="shared" si="3"/>
        <v>12</v>
      </c>
      <c r="B13" s="10" t="s">
        <v>40</v>
      </c>
      <c r="C13" t="s">
        <v>36</v>
      </c>
      <c r="D13" s="2" t="s">
        <v>30</v>
      </c>
      <c r="E13">
        <v>24815789</v>
      </c>
      <c r="F13">
        <v>24815789</v>
      </c>
      <c r="G13" t="s">
        <v>31</v>
      </c>
      <c r="H13" t="s">
        <v>31</v>
      </c>
      <c r="I13">
        <v>4324815789</v>
      </c>
      <c r="J13" t="s">
        <v>34</v>
      </c>
      <c r="K13">
        <v>12653</v>
      </c>
      <c r="L13" t="str">
        <f t="shared" si="1"/>
        <v>98D3D2-00316D</v>
      </c>
      <c r="M13" s="9" t="str">
        <f t="shared" si="4"/>
        <v>98D3D200316D</v>
      </c>
      <c r="N13">
        <v>20260521</v>
      </c>
      <c r="O13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24815789&amp;20260521&amp;12653&amp;98D3D2-00316D&amp;B03</v>
      </c>
      <c r="P13" s="9"/>
      <c r="Q13" s="9" t="b">
        <f>EXACT(Tabelle1[[#This Row],[DMC Kamera SOLL:]],Tabelle1[[#This Row],[DMC Kamera IST:]])</f>
        <v>0</v>
      </c>
      <c r="R13" s="9" t="str">
        <f>"mac_address="&amp;Tabelle1[[#This Row],[MAC 2:]]&amp;"serial_nb=000"&amp;Tabelle1[[#This Row],[SNr.:]]&amp;"device_type="&amp;Tabelle1[[#This Row],[Devicetype:]]</f>
        <v>mac_address=98D3D200316Dserial_nb=00012653device_type=rcam_2</v>
      </c>
      <c r="S13" s="9"/>
      <c r="T13" s="9" t="b">
        <f>EXACT(Tabelle1[[#This Row],[Configuration String aus SOME/IP-SD SOLL:]],Tabelle1[[#This Row],[Configuration String aus SOME/IP-SD IST:]])</f>
        <v>0</v>
      </c>
      <c r="U13" s="9" t="str">
        <f>Tabelle1[[#This Row],[snpn:]]&amp;"000"&amp;Tabelle1[[#This Row],[SNr.:]]&amp;LOWER(Tabelle1[[#This Row],[MAC 2:]])</f>
        <v>43248157890001265398d3d200316d</v>
      </c>
      <c r="V13" s="9"/>
      <c r="W13" s="9" t="b">
        <f>EXACT(Tabelle1[[#This Row],[Payload getCamIdentifikation (Wireshark) SOLL:]],Tabelle1[[#This Row],[Payload getCamIdentifikation (Wireshark) IST:]])</f>
        <v>0</v>
      </c>
      <c r="X13" s="9"/>
      <c r="Y13" s="9"/>
      <c r="Z13" s="9"/>
      <c r="AA13" s="9"/>
    </row>
    <row r="14" spans="1:27" x14ac:dyDescent="0.2">
      <c r="A14" s="9">
        <f t="shared" si="3"/>
        <v>13</v>
      </c>
      <c r="B14" s="10" t="s">
        <v>33</v>
      </c>
      <c r="C14" t="s">
        <v>32</v>
      </c>
      <c r="D14" s="2" t="s">
        <v>30</v>
      </c>
      <c r="E14">
        <v>24570242</v>
      </c>
      <c r="F14">
        <v>24548571</v>
      </c>
      <c r="G14" t="s">
        <v>31</v>
      </c>
      <c r="H14" t="s">
        <v>31</v>
      </c>
      <c r="I14">
        <v>4324548571</v>
      </c>
      <c r="J14" t="s">
        <v>34</v>
      </c>
      <c r="K14">
        <v>12807</v>
      </c>
      <c r="L14" t="str">
        <f t="shared" si="1"/>
        <v>98D3D2-003207</v>
      </c>
      <c r="M14" s="9" t="str">
        <f t="shared" si="4"/>
        <v>98D3D2003207</v>
      </c>
      <c r="N14">
        <v>20260521</v>
      </c>
      <c r="O14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24548571&amp;20260521&amp;12807&amp;98D3D2-003207&amp;B03</v>
      </c>
      <c r="P14" s="9"/>
      <c r="Q14" s="9" t="b">
        <f>EXACT(Tabelle1[[#This Row],[DMC Kamera SOLL:]],Tabelle1[[#This Row],[DMC Kamera IST:]])</f>
        <v>0</v>
      </c>
      <c r="R14" s="9" t="str">
        <f>"mac_address="&amp;Tabelle1[[#This Row],[MAC 2:]]&amp;"serial_nb=000"&amp;Tabelle1[[#This Row],[SNr.:]]&amp;"device_type="&amp;Tabelle1[[#This Row],[Devicetype:]]</f>
        <v>mac_address=98D3D2003207serial_nb=00012807device_type=rcam_2</v>
      </c>
      <c r="S14" s="9"/>
      <c r="T14" s="9" t="b">
        <f>EXACT(Tabelle1[[#This Row],[Configuration String aus SOME/IP-SD SOLL:]],Tabelle1[[#This Row],[Configuration String aus SOME/IP-SD IST:]])</f>
        <v>0</v>
      </c>
      <c r="U14" s="9" t="str">
        <f>Tabelle1[[#This Row],[snpn:]]&amp;"000"&amp;Tabelle1[[#This Row],[SNr.:]]&amp;LOWER(Tabelle1[[#This Row],[MAC 2:]])</f>
        <v>43245485710001280798d3d2003207</v>
      </c>
      <c r="V14" s="9"/>
      <c r="W14" s="9" t="b">
        <f>EXACT(Tabelle1[[#This Row],[Payload getCamIdentifikation (Wireshark) SOLL:]],Tabelle1[[#This Row],[Payload getCamIdentifikation (Wireshark) IST:]])</f>
        <v>0</v>
      </c>
      <c r="X14" s="9"/>
      <c r="Y14" s="9"/>
      <c r="Z14" s="9"/>
      <c r="AA14" s="9"/>
    </row>
    <row r="15" spans="1:27" x14ac:dyDescent="0.2">
      <c r="A15" s="9">
        <f t="shared" si="3"/>
        <v>14</v>
      </c>
      <c r="B15" s="10" t="s">
        <v>33</v>
      </c>
      <c r="C15" t="s">
        <v>32</v>
      </c>
      <c r="D15" s="2" t="s">
        <v>30</v>
      </c>
      <c r="E15">
        <v>24570242</v>
      </c>
      <c r="F15">
        <v>24548571</v>
      </c>
      <c r="G15" t="s">
        <v>31</v>
      </c>
      <c r="H15" t="s">
        <v>31</v>
      </c>
      <c r="I15">
        <v>4324548571</v>
      </c>
      <c r="J15" t="s">
        <v>34</v>
      </c>
      <c r="K15">
        <v>12808</v>
      </c>
      <c r="L15" t="str">
        <f t="shared" si="1"/>
        <v>98D3D2-003208</v>
      </c>
      <c r="M15" s="9" t="str">
        <f t="shared" si="4"/>
        <v>98D3D2003208</v>
      </c>
      <c r="N15">
        <v>20260521</v>
      </c>
      <c r="O15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24548571&amp;20260521&amp;12808&amp;98D3D2-003208&amp;B03</v>
      </c>
      <c r="P15" s="9"/>
      <c r="Q15" s="9" t="b">
        <f>EXACT(Tabelle1[[#This Row],[DMC Kamera SOLL:]],Tabelle1[[#This Row],[DMC Kamera IST:]])</f>
        <v>0</v>
      </c>
      <c r="R15" s="9" t="str">
        <f>"mac_address="&amp;Tabelle1[[#This Row],[MAC 2:]]&amp;"serial_nb=000"&amp;Tabelle1[[#This Row],[SNr.:]]&amp;"device_type="&amp;Tabelle1[[#This Row],[Devicetype:]]</f>
        <v>mac_address=98D3D2003208serial_nb=00012808device_type=rcam_2</v>
      </c>
      <c r="S15" s="9"/>
      <c r="T15" s="9" t="b">
        <f>EXACT(Tabelle1[[#This Row],[Configuration String aus SOME/IP-SD SOLL:]],Tabelle1[[#This Row],[Configuration String aus SOME/IP-SD IST:]])</f>
        <v>0</v>
      </c>
      <c r="U15" s="9" t="str">
        <f>Tabelle1[[#This Row],[snpn:]]&amp;"000"&amp;Tabelle1[[#This Row],[SNr.:]]&amp;LOWER(Tabelle1[[#This Row],[MAC 2:]])</f>
        <v>43245485710001280898d3d2003208</v>
      </c>
      <c r="V15" s="9"/>
      <c r="W15" s="9" t="b">
        <f>EXACT(Tabelle1[[#This Row],[Payload getCamIdentifikation (Wireshark) SOLL:]],Tabelle1[[#This Row],[Payload getCamIdentifikation (Wireshark) IST:]])</f>
        <v>0</v>
      </c>
      <c r="X15" s="9"/>
      <c r="Y15" s="9"/>
      <c r="Z15" s="9"/>
      <c r="AA15" s="9"/>
    </row>
    <row r="16" spans="1:27" x14ac:dyDescent="0.2">
      <c r="A16" s="9">
        <f t="shared" si="3"/>
        <v>15</v>
      </c>
      <c r="B16" s="10" t="s">
        <v>33</v>
      </c>
      <c r="C16" t="s">
        <v>32</v>
      </c>
      <c r="D16" s="2" t="s">
        <v>30</v>
      </c>
      <c r="E16">
        <v>24570242</v>
      </c>
      <c r="F16">
        <v>24548571</v>
      </c>
      <c r="G16" t="s">
        <v>31</v>
      </c>
      <c r="H16" t="s">
        <v>31</v>
      </c>
      <c r="I16">
        <v>4324548571</v>
      </c>
      <c r="J16" t="s">
        <v>34</v>
      </c>
      <c r="K16">
        <v>12809</v>
      </c>
      <c r="L16" t="str">
        <f t="shared" si="1"/>
        <v>98D3D2-003209</v>
      </c>
      <c r="M16" s="9" t="str">
        <f t="shared" si="4"/>
        <v>98D3D2003209</v>
      </c>
      <c r="N16">
        <v>20260521</v>
      </c>
      <c r="O16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24548571&amp;20260521&amp;12809&amp;98D3D2-003209&amp;B03</v>
      </c>
      <c r="P16" s="9"/>
      <c r="Q16" s="9" t="b">
        <f>EXACT(Tabelle1[[#This Row],[DMC Kamera SOLL:]],Tabelle1[[#This Row],[DMC Kamera IST:]])</f>
        <v>0</v>
      </c>
      <c r="R16" s="9" t="str">
        <f>"mac_address="&amp;Tabelle1[[#This Row],[MAC 2:]]&amp;"serial_nb=000"&amp;Tabelle1[[#This Row],[SNr.:]]&amp;"device_type="&amp;Tabelle1[[#This Row],[Devicetype:]]</f>
        <v>mac_address=98D3D2003209serial_nb=00012809device_type=rcam_2</v>
      </c>
      <c r="S16" s="9"/>
      <c r="T16" s="9" t="b">
        <f>EXACT(Tabelle1[[#This Row],[Configuration String aus SOME/IP-SD SOLL:]],Tabelle1[[#This Row],[Configuration String aus SOME/IP-SD IST:]])</f>
        <v>0</v>
      </c>
      <c r="U16" s="9" t="str">
        <f>Tabelle1[[#This Row],[snpn:]]&amp;"000"&amp;Tabelle1[[#This Row],[SNr.:]]&amp;LOWER(Tabelle1[[#This Row],[MAC 2:]])</f>
        <v>43245485710001280998d3d2003209</v>
      </c>
      <c r="V16" s="9"/>
      <c r="W16" s="9" t="b">
        <f>EXACT(Tabelle1[[#This Row],[Payload getCamIdentifikation (Wireshark) SOLL:]],Tabelle1[[#This Row],[Payload getCamIdentifikation (Wireshark) IST:]])</f>
        <v>0</v>
      </c>
      <c r="X16" s="9"/>
      <c r="Y16" s="9"/>
      <c r="Z16" s="9"/>
      <c r="AA16" s="9"/>
    </row>
    <row r="17" spans="1:27" x14ac:dyDescent="0.2">
      <c r="A17" s="9">
        <f t="shared" si="3"/>
        <v>16</v>
      </c>
      <c r="B17" s="10" t="s">
        <v>33</v>
      </c>
      <c r="C17" t="s">
        <v>32</v>
      </c>
      <c r="D17" s="2" t="s">
        <v>30</v>
      </c>
      <c r="E17">
        <v>24570242</v>
      </c>
      <c r="F17">
        <v>24548571</v>
      </c>
      <c r="G17" t="s">
        <v>31</v>
      </c>
      <c r="H17" t="s">
        <v>31</v>
      </c>
      <c r="I17">
        <v>4324548571</v>
      </c>
      <c r="J17" t="s">
        <v>34</v>
      </c>
      <c r="K17">
        <v>12810</v>
      </c>
      <c r="L17" t="str">
        <f t="shared" si="1"/>
        <v>98D3D2-00320A</v>
      </c>
      <c r="M17" s="9" t="str">
        <f t="shared" si="4"/>
        <v>98D3D200320A</v>
      </c>
      <c r="N17">
        <v>20260521</v>
      </c>
      <c r="O17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24548571&amp;20260521&amp;12810&amp;98D3D2-00320A&amp;B03</v>
      </c>
      <c r="P17" s="9"/>
      <c r="Q17" s="9" t="b">
        <f>EXACT(Tabelle1[[#This Row],[DMC Kamera SOLL:]],Tabelle1[[#This Row],[DMC Kamera IST:]])</f>
        <v>0</v>
      </c>
      <c r="R17" s="9" t="str">
        <f>"mac_address="&amp;Tabelle1[[#This Row],[MAC 2:]]&amp;"serial_nb=000"&amp;Tabelle1[[#This Row],[SNr.:]]&amp;"device_type="&amp;Tabelle1[[#This Row],[Devicetype:]]</f>
        <v>mac_address=98D3D200320Aserial_nb=00012810device_type=rcam_2</v>
      </c>
      <c r="S17" s="9"/>
      <c r="T17" s="9" t="b">
        <f>EXACT(Tabelle1[[#This Row],[Configuration String aus SOME/IP-SD SOLL:]],Tabelle1[[#This Row],[Configuration String aus SOME/IP-SD IST:]])</f>
        <v>0</v>
      </c>
      <c r="U17" s="9" t="str">
        <f>Tabelle1[[#This Row],[snpn:]]&amp;"000"&amp;Tabelle1[[#This Row],[SNr.:]]&amp;LOWER(Tabelle1[[#This Row],[MAC 2:]])</f>
        <v>43245485710001281098d3d200320a</v>
      </c>
      <c r="V17" s="9"/>
      <c r="W17" s="9" t="b">
        <f>EXACT(Tabelle1[[#This Row],[Payload getCamIdentifikation (Wireshark) SOLL:]],Tabelle1[[#This Row],[Payload getCamIdentifikation (Wireshark) IST:]])</f>
        <v>0</v>
      </c>
      <c r="X17" s="9"/>
      <c r="Y17" s="9"/>
      <c r="Z17" s="9"/>
      <c r="AA17" s="9"/>
    </row>
    <row r="18" spans="1:27" x14ac:dyDescent="0.2">
      <c r="A18" s="9">
        <f t="shared" si="3"/>
        <v>17</v>
      </c>
      <c r="B18" s="10" t="s">
        <v>33</v>
      </c>
      <c r="C18" t="s">
        <v>32</v>
      </c>
      <c r="D18" s="2" t="s">
        <v>30</v>
      </c>
      <c r="E18">
        <v>24570242</v>
      </c>
      <c r="F18">
        <v>24548571</v>
      </c>
      <c r="G18" t="s">
        <v>31</v>
      </c>
      <c r="H18" t="s">
        <v>31</v>
      </c>
      <c r="I18">
        <v>4324548571</v>
      </c>
      <c r="J18" t="s">
        <v>34</v>
      </c>
      <c r="K18">
        <v>12811</v>
      </c>
      <c r="L18" t="str">
        <f t="shared" si="1"/>
        <v>98D3D2-00320B</v>
      </c>
      <c r="M18" s="9" t="str">
        <f t="shared" si="4"/>
        <v>98D3D200320B</v>
      </c>
      <c r="N18">
        <v>20260521</v>
      </c>
      <c r="O18" s="9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24548571&amp;20260521&amp;12811&amp;98D3D2-00320B&amp;B03</v>
      </c>
      <c r="P18" s="9"/>
      <c r="Q18" s="9" t="b">
        <f>EXACT(Tabelle1[[#This Row],[DMC Kamera SOLL:]],Tabelle1[[#This Row],[DMC Kamera IST:]])</f>
        <v>0</v>
      </c>
      <c r="R18" s="9" t="str">
        <f>"mac_address="&amp;Tabelle1[[#This Row],[MAC 2:]]&amp;"serial_nb=000"&amp;Tabelle1[[#This Row],[SNr.:]]&amp;"device_type="&amp;Tabelle1[[#This Row],[Devicetype:]]</f>
        <v>mac_address=98D3D200320Bserial_nb=00012811device_type=rcam_2</v>
      </c>
      <c r="S18" s="9"/>
      <c r="T18" s="9" t="b">
        <f>EXACT(Tabelle1[[#This Row],[Configuration String aus SOME/IP-SD SOLL:]],Tabelle1[[#This Row],[Configuration String aus SOME/IP-SD IST:]])</f>
        <v>0</v>
      </c>
      <c r="U18" s="9" t="str">
        <f>Tabelle1[[#This Row],[snpn:]]&amp;"000"&amp;Tabelle1[[#This Row],[SNr.:]]&amp;LOWER(Tabelle1[[#This Row],[MAC 2:]])</f>
        <v>43245485710001281198d3d200320b</v>
      </c>
      <c r="V18" s="9"/>
      <c r="W18" s="9" t="b">
        <f>EXACT(Tabelle1[[#This Row],[Payload getCamIdentifikation (Wireshark) SOLL:]],Tabelle1[[#This Row],[Payload getCamIdentifikation (Wireshark) IST:]])</f>
        <v>0</v>
      </c>
      <c r="X18" s="9"/>
      <c r="Y18" s="9"/>
      <c r="Z18" s="9"/>
      <c r="AA18" s="9"/>
    </row>
    <row r="19" spans="1:27" x14ac:dyDescent="0.2">
      <c r="A19" s="12">
        <f t="shared" ref="A19:A25" si="5">ROW()-1</f>
        <v>18</v>
      </c>
      <c r="B19" s="10" t="s">
        <v>33</v>
      </c>
      <c r="C19" t="s">
        <v>32</v>
      </c>
      <c r="D19" s="2" t="s">
        <v>30</v>
      </c>
      <c r="E19">
        <v>24570242</v>
      </c>
      <c r="F19">
        <v>24548571</v>
      </c>
      <c r="G19" t="s">
        <v>31</v>
      </c>
      <c r="H19" t="s">
        <v>31</v>
      </c>
      <c r="I19">
        <v>4324548571</v>
      </c>
      <c r="J19" t="s">
        <v>34</v>
      </c>
      <c r="K19">
        <v>12812</v>
      </c>
      <c r="L19" t="str">
        <f t="shared" si="1"/>
        <v>98D3D2-00320C</v>
      </c>
      <c r="M19" s="12" t="str">
        <f t="shared" ref="M19:M25" si="6">"98D3D200"&amp;DEC2HEX(K19)</f>
        <v>98D3D200320C</v>
      </c>
      <c r="N19">
        <v>20260521</v>
      </c>
      <c r="O19" s="1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24548571&amp;20260521&amp;12812&amp;98D3D2-00320C&amp;B03</v>
      </c>
      <c r="P19" s="9"/>
      <c r="Q19" s="12" t="b">
        <f>EXACT(Tabelle1[[#This Row],[DMC Kamera SOLL:]],Tabelle1[[#This Row],[DMC Kamera IST:]])</f>
        <v>0</v>
      </c>
      <c r="R19" s="12" t="str">
        <f>"mac_address="&amp;Tabelle1[[#This Row],[MAC 2:]]&amp;"serial_nb=000"&amp;Tabelle1[[#This Row],[SNr.:]]&amp;"device_type="&amp;Tabelle1[[#This Row],[Devicetype:]]</f>
        <v>mac_address=98D3D200320Cserial_nb=00012812device_type=rcam_2</v>
      </c>
      <c r="S19" s="9"/>
      <c r="T19" s="12" t="b">
        <f>EXACT(Tabelle1[[#This Row],[Configuration String aus SOME/IP-SD SOLL:]],Tabelle1[[#This Row],[Configuration String aus SOME/IP-SD IST:]])</f>
        <v>0</v>
      </c>
      <c r="U19" s="12" t="str">
        <f>Tabelle1[[#This Row],[snpn:]]&amp;"000"&amp;Tabelle1[[#This Row],[SNr.:]]&amp;LOWER(Tabelle1[[#This Row],[MAC 2:]])</f>
        <v>43245485710001281298d3d200320c</v>
      </c>
      <c r="V19" s="12"/>
      <c r="W19" s="12" t="b">
        <f>EXACT(Tabelle1[[#This Row],[Payload getCamIdentifikation (Wireshark) SOLL:]],Tabelle1[[#This Row],[Payload getCamIdentifikation (Wireshark) IST:]])</f>
        <v>0</v>
      </c>
      <c r="X19" s="12"/>
      <c r="Y19" s="12"/>
      <c r="Z19" s="12"/>
      <c r="AA19" s="12"/>
    </row>
    <row r="20" spans="1:27" x14ac:dyDescent="0.2">
      <c r="A20" s="12">
        <f t="shared" si="5"/>
        <v>19</v>
      </c>
      <c r="B20" s="10" t="s">
        <v>33</v>
      </c>
      <c r="C20" t="s">
        <v>32</v>
      </c>
      <c r="D20" s="2" t="s">
        <v>30</v>
      </c>
      <c r="E20">
        <v>24570242</v>
      </c>
      <c r="F20">
        <v>24548571</v>
      </c>
      <c r="G20" t="s">
        <v>31</v>
      </c>
      <c r="H20" t="s">
        <v>31</v>
      </c>
      <c r="I20">
        <v>4324548571</v>
      </c>
      <c r="J20" t="s">
        <v>34</v>
      </c>
      <c r="K20">
        <v>12813</v>
      </c>
      <c r="L20" t="str">
        <f t="shared" si="1"/>
        <v>98D3D2-00320D</v>
      </c>
      <c r="M20" s="12" t="str">
        <f t="shared" si="6"/>
        <v>98D3D200320D</v>
      </c>
      <c r="N20">
        <v>20260521</v>
      </c>
      <c r="O20" s="1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24548571&amp;20260521&amp;12813&amp;98D3D2-00320D&amp;B03</v>
      </c>
      <c r="P20" s="9"/>
      <c r="Q20" s="12" t="b">
        <f>EXACT(Tabelle1[[#This Row],[DMC Kamera SOLL:]],Tabelle1[[#This Row],[DMC Kamera IST:]])</f>
        <v>0</v>
      </c>
      <c r="R20" s="12" t="str">
        <f>"mac_address="&amp;Tabelle1[[#This Row],[MAC 2:]]&amp;"serial_nb=000"&amp;Tabelle1[[#This Row],[SNr.:]]&amp;"device_type="&amp;Tabelle1[[#This Row],[Devicetype:]]</f>
        <v>mac_address=98D3D200320Dserial_nb=00012813device_type=rcam_2</v>
      </c>
      <c r="S20" s="9"/>
      <c r="T20" s="12" t="b">
        <f>EXACT(Tabelle1[[#This Row],[Configuration String aus SOME/IP-SD SOLL:]],Tabelle1[[#This Row],[Configuration String aus SOME/IP-SD IST:]])</f>
        <v>0</v>
      </c>
      <c r="U20" s="12" t="str">
        <f>Tabelle1[[#This Row],[snpn:]]&amp;"000"&amp;Tabelle1[[#This Row],[SNr.:]]&amp;LOWER(Tabelle1[[#This Row],[MAC 2:]])</f>
        <v>43245485710001281398d3d200320d</v>
      </c>
      <c r="V20" s="12"/>
      <c r="W20" s="12" t="b">
        <f>EXACT(Tabelle1[[#This Row],[Payload getCamIdentifikation (Wireshark) SOLL:]],Tabelle1[[#This Row],[Payload getCamIdentifikation (Wireshark) IST:]])</f>
        <v>0</v>
      </c>
      <c r="X20" s="12"/>
      <c r="Y20" s="12"/>
      <c r="Z20" s="12"/>
      <c r="AA20" s="12"/>
    </row>
    <row r="21" spans="1:27" x14ac:dyDescent="0.2">
      <c r="A21" s="12">
        <f t="shared" si="5"/>
        <v>20</v>
      </c>
      <c r="B21" s="10" t="s">
        <v>33</v>
      </c>
      <c r="C21" t="s">
        <v>32</v>
      </c>
      <c r="D21" s="2" t="s">
        <v>30</v>
      </c>
      <c r="E21">
        <v>24570242</v>
      </c>
      <c r="F21">
        <v>24548571</v>
      </c>
      <c r="G21" t="s">
        <v>31</v>
      </c>
      <c r="H21" t="s">
        <v>31</v>
      </c>
      <c r="I21">
        <v>4324548571</v>
      </c>
      <c r="J21" t="s">
        <v>34</v>
      </c>
      <c r="K21">
        <v>12814</v>
      </c>
      <c r="L21" t="str">
        <f t="shared" si="1"/>
        <v>98D3D2-00320E</v>
      </c>
      <c r="M21" s="12" t="str">
        <f t="shared" si="6"/>
        <v>98D3D200320E</v>
      </c>
      <c r="N21">
        <v>20260521</v>
      </c>
      <c r="O21" s="1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24548571&amp;20260521&amp;12814&amp;98D3D2-00320E&amp;B03</v>
      </c>
      <c r="P21" s="9"/>
      <c r="Q21" s="12" t="b">
        <f>EXACT(Tabelle1[[#This Row],[DMC Kamera SOLL:]],Tabelle1[[#This Row],[DMC Kamera IST:]])</f>
        <v>0</v>
      </c>
      <c r="R21" s="12" t="str">
        <f>"mac_address="&amp;Tabelle1[[#This Row],[MAC 2:]]&amp;"serial_nb=000"&amp;Tabelle1[[#This Row],[SNr.:]]&amp;"device_type="&amp;Tabelle1[[#This Row],[Devicetype:]]</f>
        <v>mac_address=98D3D200320Eserial_nb=00012814device_type=rcam_2</v>
      </c>
      <c r="S21" s="9"/>
      <c r="T21" s="12" t="b">
        <f>EXACT(Tabelle1[[#This Row],[Configuration String aus SOME/IP-SD SOLL:]],Tabelle1[[#This Row],[Configuration String aus SOME/IP-SD IST:]])</f>
        <v>0</v>
      </c>
      <c r="U21" s="12" t="str">
        <f>Tabelle1[[#This Row],[snpn:]]&amp;"000"&amp;Tabelle1[[#This Row],[SNr.:]]&amp;LOWER(Tabelle1[[#This Row],[MAC 2:]])</f>
        <v>43245485710001281498d3d200320e</v>
      </c>
      <c r="V21" s="12"/>
      <c r="W21" s="12" t="b">
        <f>EXACT(Tabelle1[[#This Row],[Payload getCamIdentifikation (Wireshark) SOLL:]],Tabelle1[[#This Row],[Payload getCamIdentifikation (Wireshark) IST:]])</f>
        <v>0</v>
      </c>
      <c r="X21" s="12"/>
      <c r="Y21" s="12"/>
      <c r="Z21" s="12"/>
      <c r="AA21" s="12"/>
    </row>
    <row r="22" spans="1:27" x14ac:dyDescent="0.2">
      <c r="A22" s="12">
        <f t="shared" si="5"/>
        <v>21</v>
      </c>
      <c r="B22" s="10" t="s">
        <v>42</v>
      </c>
      <c r="C22" t="s">
        <v>38</v>
      </c>
      <c r="D22" s="2" t="s">
        <v>30</v>
      </c>
      <c r="E22">
        <v>24570238</v>
      </c>
      <c r="F22">
        <v>24548571</v>
      </c>
      <c r="G22" t="s">
        <v>31</v>
      </c>
      <c r="H22" t="s">
        <v>31</v>
      </c>
      <c r="I22">
        <v>4324548571</v>
      </c>
      <c r="J22" t="s">
        <v>34</v>
      </c>
      <c r="K22">
        <v>12819</v>
      </c>
      <c r="L22" t="str">
        <f t="shared" si="1"/>
        <v>98D3D2-003213</v>
      </c>
      <c r="M22" s="12" t="str">
        <f t="shared" si="6"/>
        <v>98D3D2003213</v>
      </c>
      <c r="N22">
        <v>20260521</v>
      </c>
      <c r="O22" s="1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24548571&amp;20260521&amp;12819&amp;98D3D2-003213&amp;B03</v>
      </c>
      <c r="P22" s="9"/>
      <c r="Q22" s="12" t="b">
        <f>EXACT(Tabelle1[[#This Row],[DMC Kamera SOLL:]],Tabelle1[[#This Row],[DMC Kamera IST:]])</f>
        <v>0</v>
      </c>
      <c r="R22" s="12" t="str">
        <f>"mac_address="&amp;Tabelle1[[#This Row],[MAC 2:]]&amp;"serial_nb=000"&amp;Tabelle1[[#This Row],[SNr.:]]&amp;"device_type="&amp;Tabelle1[[#This Row],[Devicetype:]]</f>
        <v>mac_address=98D3D2003213serial_nb=00012819device_type=rcam_2</v>
      </c>
      <c r="S22" s="9"/>
      <c r="T22" s="12" t="b">
        <f>EXACT(Tabelle1[[#This Row],[Configuration String aus SOME/IP-SD SOLL:]],Tabelle1[[#This Row],[Configuration String aus SOME/IP-SD IST:]])</f>
        <v>0</v>
      </c>
      <c r="U22" s="12" t="str">
        <f>Tabelle1[[#This Row],[snpn:]]&amp;"000"&amp;Tabelle1[[#This Row],[SNr.:]]&amp;LOWER(Tabelle1[[#This Row],[MAC 2:]])</f>
        <v>43245485710001281998d3d2003213</v>
      </c>
      <c r="V22" s="12"/>
      <c r="W22" s="12" t="b">
        <f>EXACT(Tabelle1[[#This Row],[Payload getCamIdentifikation (Wireshark) SOLL:]],Tabelle1[[#This Row],[Payload getCamIdentifikation (Wireshark) IST:]])</f>
        <v>0</v>
      </c>
      <c r="X22" s="12"/>
      <c r="Y22" s="12"/>
      <c r="Z22" s="12"/>
      <c r="AA22" s="12"/>
    </row>
    <row r="23" spans="1:27" x14ac:dyDescent="0.2">
      <c r="A23" s="12">
        <f t="shared" si="5"/>
        <v>22</v>
      </c>
      <c r="B23" s="10" t="s">
        <v>33</v>
      </c>
      <c r="C23" t="s">
        <v>32</v>
      </c>
      <c r="D23" s="2" t="s">
        <v>30</v>
      </c>
      <c r="E23">
        <v>24570242</v>
      </c>
      <c r="F23">
        <v>24548571</v>
      </c>
      <c r="G23" t="s">
        <v>31</v>
      </c>
      <c r="H23" t="s">
        <v>31</v>
      </c>
      <c r="I23">
        <v>4324548571</v>
      </c>
      <c r="J23" t="s">
        <v>34</v>
      </c>
      <c r="K23">
        <v>12820</v>
      </c>
      <c r="L23" t="str">
        <f t="shared" si="1"/>
        <v>98D3D2-003214</v>
      </c>
      <c r="M23" s="12" t="str">
        <f t="shared" si="6"/>
        <v>98D3D2003214</v>
      </c>
      <c r="N23">
        <v>20260521</v>
      </c>
      <c r="O23" s="1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24548571&amp;20260521&amp;12820&amp;98D3D2-003214&amp;B03</v>
      </c>
      <c r="P23" s="9"/>
      <c r="Q23" s="12" t="b">
        <f>EXACT(Tabelle1[[#This Row],[DMC Kamera SOLL:]],Tabelle1[[#This Row],[DMC Kamera IST:]])</f>
        <v>0</v>
      </c>
      <c r="R23" s="12" t="str">
        <f>"mac_address="&amp;Tabelle1[[#This Row],[MAC 2:]]&amp;"serial_nb=000"&amp;Tabelle1[[#This Row],[SNr.:]]&amp;"device_type="&amp;Tabelle1[[#This Row],[Devicetype:]]</f>
        <v>mac_address=98D3D2003214serial_nb=00012820device_type=rcam_2</v>
      </c>
      <c r="S23" s="9"/>
      <c r="T23" s="12" t="b">
        <f>EXACT(Tabelle1[[#This Row],[Configuration String aus SOME/IP-SD SOLL:]],Tabelle1[[#This Row],[Configuration String aus SOME/IP-SD IST:]])</f>
        <v>0</v>
      </c>
      <c r="U23" s="12" t="str">
        <f>Tabelle1[[#This Row],[snpn:]]&amp;"000"&amp;Tabelle1[[#This Row],[SNr.:]]&amp;LOWER(Tabelle1[[#This Row],[MAC 2:]])</f>
        <v>43245485710001282098d3d2003214</v>
      </c>
      <c r="V23" s="12"/>
      <c r="W23" s="12" t="b">
        <f>EXACT(Tabelle1[[#This Row],[Payload getCamIdentifikation (Wireshark) SOLL:]],Tabelle1[[#This Row],[Payload getCamIdentifikation (Wireshark) IST:]])</f>
        <v>0</v>
      </c>
      <c r="X23" s="12"/>
      <c r="Y23" s="12"/>
      <c r="Z23" s="12"/>
      <c r="AA23" s="12"/>
    </row>
    <row r="24" spans="1:27" x14ac:dyDescent="0.2">
      <c r="A24" s="12">
        <f t="shared" si="5"/>
        <v>23</v>
      </c>
      <c r="B24" s="10" t="s">
        <v>33</v>
      </c>
      <c r="C24" t="s">
        <v>32</v>
      </c>
      <c r="D24" s="2" t="s">
        <v>30</v>
      </c>
      <c r="E24">
        <v>24570242</v>
      </c>
      <c r="F24">
        <v>24548571</v>
      </c>
      <c r="G24" t="s">
        <v>31</v>
      </c>
      <c r="H24" t="s">
        <v>31</v>
      </c>
      <c r="I24">
        <v>4324548571</v>
      </c>
      <c r="J24" t="s">
        <v>34</v>
      </c>
      <c r="K24">
        <v>12879</v>
      </c>
      <c r="L24" t="str">
        <f t="shared" si="1"/>
        <v>98D3D2-00324F</v>
      </c>
      <c r="M24" s="12" t="str">
        <f t="shared" si="6"/>
        <v>98D3D200324F</v>
      </c>
      <c r="N24">
        <v>20260521</v>
      </c>
      <c r="O24" s="1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24548571&amp;20260521&amp;12879&amp;98D3D2-00324F&amp;B03</v>
      </c>
      <c r="P24" s="9"/>
      <c r="Q24" s="12" t="b">
        <f>EXACT(Tabelle1[[#This Row],[DMC Kamera SOLL:]],Tabelle1[[#This Row],[DMC Kamera IST:]])</f>
        <v>0</v>
      </c>
      <c r="R24" s="12" t="str">
        <f>"mac_address="&amp;Tabelle1[[#This Row],[MAC 2:]]&amp;"serial_nb=000"&amp;Tabelle1[[#This Row],[SNr.:]]&amp;"device_type="&amp;Tabelle1[[#This Row],[Devicetype:]]</f>
        <v>mac_address=98D3D200324Fserial_nb=00012879device_type=rcam_2</v>
      </c>
      <c r="S24" s="9"/>
      <c r="T24" s="12" t="b">
        <f>EXACT(Tabelle1[[#This Row],[Configuration String aus SOME/IP-SD SOLL:]],Tabelle1[[#This Row],[Configuration String aus SOME/IP-SD IST:]])</f>
        <v>0</v>
      </c>
      <c r="U24" s="12" t="str">
        <f>Tabelle1[[#This Row],[snpn:]]&amp;"000"&amp;Tabelle1[[#This Row],[SNr.:]]&amp;LOWER(Tabelle1[[#This Row],[MAC 2:]])</f>
        <v>43245485710001287998d3d200324f</v>
      </c>
      <c r="V24" s="12"/>
      <c r="W24" s="12" t="b">
        <f>EXACT(Tabelle1[[#This Row],[Payload getCamIdentifikation (Wireshark) SOLL:]],Tabelle1[[#This Row],[Payload getCamIdentifikation (Wireshark) IST:]])</f>
        <v>0</v>
      </c>
      <c r="X24" s="12"/>
      <c r="Y24" s="12"/>
      <c r="Z24" s="12"/>
      <c r="AA24" s="12"/>
    </row>
    <row r="25" spans="1:27" x14ac:dyDescent="0.2">
      <c r="A25" s="12">
        <f t="shared" si="5"/>
        <v>24</v>
      </c>
      <c r="B25" s="10" t="s">
        <v>33</v>
      </c>
      <c r="C25" t="s">
        <v>32</v>
      </c>
      <c r="D25" s="2" t="s">
        <v>30</v>
      </c>
      <c r="E25">
        <v>24570242</v>
      </c>
      <c r="F25">
        <v>24548571</v>
      </c>
      <c r="G25" t="s">
        <v>31</v>
      </c>
      <c r="H25" t="s">
        <v>31</v>
      </c>
      <c r="I25">
        <v>4324548571</v>
      </c>
      <c r="J25" t="s">
        <v>34</v>
      </c>
      <c r="K25">
        <v>12734</v>
      </c>
      <c r="L25" t="str">
        <f t="shared" si="1"/>
        <v>98D3D2-0031BE</v>
      </c>
      <c r="M25" s="12" t="str">
        <f t="shared" si="6"/>
        <v>98D3D20031BE</v>
      </c>
      <c r="N25">
        <v>20260521</v>
      </c>
      <c r="O25" s="12" t="str">
        <f>Tabelle1[[#This Row],[Volvo Nummer Kamera:]]&amp;"&amp;"&amp;Tabelle1[[#This Row],[Datum:]]&amp;"&amp;"&amp;Tabelle1[[#This Row],[SNr.:]]&amp;"&amp;"&amp;Tabelle1[[#This Row],[MAC.Adresse:]]&amp;"&amp;"&amp;Tabelle1[[#This Row],[Index Kamera:]]</f>
        <v>24548571&amp;20260521&amp;12734&amp;98D3D2-0031BE&amp;B03</v>
      </c>
      <c r="P25" s="9"/>
      <c r="Q25" s="12" t="b">
        <f>EXACT(Tabelle1[[#This Row],[DMC Kamera SOLL:]],Tabelle1[[#This Row],[DMC Kamera IST:]])</f>
        <v>0</v>
      </c>
      <c r="R25" s="12" t="str">
        <f>"mac_address="&amp;Tabelle1[[#This Row],[MAC 2:]]&amp;"serial_nb=000"&amp;Tabelle1[[#This Row],[SNr.:]]&amp;"device_type="&amp;Tabelle1[[#This Row],[Devicetype:]]</f>
        <v>mac_address=98D3D20031BEserial_nb=00012734device_type=rcam_2</v>
      </c>
      <c r="S25" s="9"/>
      <c r="T25" s="12" t="b">
        <f>EXACT(Tabelle1[[#This Row],[Configuration String aus SOME/IP-SD SOLL:]],Tabelle1[[#This Row],[Configuration String aus SOME/IP-SD IST:]])</f>
        <v>0</v>
      </c>
      <c r="U25" s="12" t="str">
        <f>Tabelle1[[#This Row],[snpn:]]&amp;"000"&amp;Tabelle1[[#This Row],[SNr.:]]&amp;LOWER(Tabelle1[[#This Row],[MAC 2:]])</f>
        <v>43245485710001273498d3d20031be</v>
      </c>
      <c r="V25" s="12"/>
      <c r="W25" s="12" t="b">
        <f>EXACT(Tabelle1[[#This Row],[Payload getCamIdentifikation (Wireshark) SOLL:]],Tabelle1[[#This Row],[Payload getCamIdentifikation (Wireshark) IST:]])</f>
        <v>0</v>
      </c>
      <c r="X25" s="12"/>
      <c r="Y25" s="12"/>
      <c r="Z25" s="12"/>
      <c r="AA25" s="12"/>
    </row>
    <row r="26" spans="1:27" x14ac:dyDescent="0.2">
      <c r="A26" s="9"/>
      <c r="B26" s="9"/>
      <c r="C26" s="9"/>
      <c r="D26" s="9"/>
      <c r="E26" s="9"/>
      <c r="G26" s="9"/>
      <c r="I26" s="9"/>
      <c r="J26" s="9"/>
      <c r="K26" s="11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x14ac:dyDescent="0.2">
      <c r="A27" s="9"/>
      <c r="B27" s="9"/>
      <c r="C27" s="9"/>
      <c r="D27" s="9"/>
      <c r="E27" s="9"/>
      <c r="G27" s="9"/>
      <c r="I27" s="9"/>
      <c r="J27" s="9"/>
      <c r="K27" s="11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x14ac:dyDescent="0.2">
      <c r="A28" s="9"/>
      <c r="B28" s="9"/>
      <c r="C28" s="9"/>
      <c r="D28" s="9"/>
      <c r="E28" s="9"/>
      <c r="G28" s="9"/>
      <c r="I28" s="9"/>
      <c r="J28" s="9"/>
      <c r="K28" s="11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</sheetData>
  <phoneticPr fontId="8" type="noConversion"/>
  <conditionalFormatting sqref="Q1:Q25 W1:W25 T2:T25">
    <cfRule type="cellIs" dxfId="4" priority="11" operator="equal">
      <formula>TRUE</formula>
    </cfRule>
    <cfRule type="cellIs" dxfId="3" priority="12" operator="equal">
      <formula>FALSE</formula>
    </cfRule>
  </conditionalFormatting>
  <conditionalFormatting sqref="X1:Z1048576">
    <cfRule type="cellIs" dxfId="11" priority="1" operator="equal">
      <formula>"NOK"</formula>
    </cfRule>
    <cfRule type="cellIs" dxfId="10" priority="2" operator="equal">
      <formula>"OK"</formula>
    </cfRule>
  </conditionalFormatting>
  <conditionalFormatting sqref="AA2:AA25">
    <cfRule type="cellIs" dxfId="2" priority="3" operator="between">
      <formula>0.08</formula>
      <formula>0.24</formula>
    </cfRule>
    <cfRule type="cellIs" dxfId="1" priority="4" operator="lessThan">
      <formula>0.08</formula>
    </cfRule>
    <cfRule type="cellIs" dxfId="0" priority="5" operator="greaterThan">
      <formula>0.24</formula>
    </cfRule>
  </conditionalFormatting>
  <pageMargins left="0.7" right="0.7" top="0.78740157499999996" bottom="0.78740157499999996" header="0.3" footer="0.3"/>
  <pageSetup paperSize="9" orientation="portrait" verticalDpi="0" r:id="rId1"/>
  <legacy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lookup!$A:$A</xm:f>
          </x14:formula1>
          <xm:sqref>X2:X25</xm:sqref>
        </x14:dataValidation>
        <x14:dataValidation type="list" allowBlank="1" showInputMessage="1" showErrorMessage="1" xr:uid="{00000000-0002-0000-0000-000001000000}">
          <x14:formula1>
            <xm:f>lookup!$A$1:$A$2</xm:f>
          </x14:formula1>
          <xm:sqref>Y2:Y25</xm:sqref>
        </x14:dataValidation>
        <x14:dataValidation type="list" allowBlank="1" showInputMessage="1" showErrorMessage="1" xr:uid="{00000000-0002-0000-0000-000002000000}">
          <x14:formula1>
            <xm:f>lookup!$B$1:$B$3</xm:f>
          </x14:formula1>
          <xm:sqref>Z2:Z25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A3" sqref="A3"/>
    </sheetView>
  </sheetViews>
  <sheetFormatPr baseColWidth="10" defaultRowHeight="14.25" x14ac:dyDescent="0.2"/>
  <sheetData>
    <row r="1" spans="1:2" x14ac:dyDescent="0.2">
      <c r="A1" t="s">
        <v>20</v>
      </c>
      <c r="B1" t="s">
        <v>20</v>
      </c>
    </row>
    <row r="2" spans="1:2" x14ac:dyDescent="0.2">
      <c r="A2" t="s">
        <v>21</v>
      </c>
      <c r="B2" t="s">
        <v>21</v>
      </c>
    </row>
    <row r="3" spans="1:2" x14ac:dyDescent="0.2">
      <c r="B3" t="s">
        <v>29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C0-Build</vt:lpstr>
      <vt:lpstr>lookup</vt:lpstr>
    </vt:vector>
  </TitlesOfParts>
  <Company>MEKRA Lang GmbH &amp;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Völler, Jonas</dc:creator>
  <cp:lastModifiedBy>Reiner, Stefan</cp:lastModifiedBy>
  <dcterms:created xsi:type="dcterms:W3CDTF">2025-11-11T10:42:12Z</dcterms:created>
  <dcterms:modified xsi:type="dcterms:W3CDTF">2026-05-21T12:01:14Z</dcterms:modified>
</cp:coreProperties>
</file>