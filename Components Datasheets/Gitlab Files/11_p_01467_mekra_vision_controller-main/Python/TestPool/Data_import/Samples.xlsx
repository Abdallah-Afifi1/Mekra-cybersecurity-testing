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Y:\Reiner\"/>
    </mc:Choice>
  </mc:AlternateContent>
  <xr:revisionPtr revIDLastSave="0" documentId="13_ncr:1_{D5F1AA3D-CF56-485D-87CF-C6D07A461B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0-Build" sheetId="1" r:id="rId1"/>
    <sheet name="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4" i="1" l="1"/>
  <c r="A95" i="1"/>
  <c r="A96" i="1"/>
  <c r="L94" i="1"/>
  <c r="O94" i="1" s="1"/>
  <c r="Q94" i="1" s="1"/>
  <c r="L95" i="1"/>
  <c r="O95" i="1" s="1"/>
  <c r="Q95" i="1" s="1"/>
  <c r="L96" i="1"/>
  <c r="O96" i="1" s="1"/>
  <c r="Q96" i="1" s="1"/>
  <c r="M94" i="1"/>
  <c r="U94" i="1" s="1"/>
  <c r="W94" i="1" s="1"/>
  <c r="M95" i="1"/>
  <c r="R95" i="1" s="1"/>
  <c r="T95" i="1" s="1"/>
  <c r="M96" i="1"/>
  <c r="R96" i="1" s="1"/>
  <c r="T96" i="1" s="1"/>
  <c r="A86" i="1"/>
  <c r="A87" i="1"/>
  <c r="A88" i="1"/>
  <c r="A89" i="1"/>
  <c r="A90" i="1"/>
  <c r="A91" i="1"/>
  <c r="A92" i="1"/>
  <c r="A93" i="1"/>
  <c r="L86" i="1"/>
  <c r="O86" i="1" s="1"/>
  <c r="Q86" i="1" s="1"/>
  <c r="L87" i="1"/>
  <c r="O87" i="1" s="1"/>
  <c r="Q87" i="1" s="1"/>
  <c r="L88" i="1"/>
  <c r="O88" i="1" s="1"/>
  <c r="Q88" i="1" s="1"/>
  <c r="L89" i="1"/>
  <c r="L90" i="1"/>
  <c r="O90" i="1" s="1"/>
  <c r="Q90" i="1" s="1"/>
  <c r="L91" i="1"/>
  <c r="O91" i="1" s="1"/>
  <c r="Q91" i="1" s="1"/>
  <c r="L92" i="1"/>
  <c r="L93" i="1"/>
  <c r="M86" i="1"/>
  <c r="M87" i="1"/>
  <c r="U87" i="1" s="1"/>
  <c r="W87" i="1" s="1"/>
  <c r="M88" i="1"/>
  <c r="U88" i="1" s="1"/>
  <c r="W88" i="1" s="1"/>
  <c r="M89" i="1"/>
  <c r="U89" i="1" s="1"/>
  <c r="W89" i="1" s="1"/>
  <c r="M90" i="1"/>
  <c r="R90" i="1" s="1"/>
  <c r="T90" i="1" s="1"/>
  <c r="M91" i="1"/>
  <c r="U91" i="1" s="1"/>
  <c r="W91" i="1" s="1"/>
  <c r="M92" i="1"/>
  <c r="U92" i="1" s="1"/>
  <c r="W92" i="1" s="1"/>
  <c r="M93" i="1"/>
  <c r="O89" i="1"/>
  <c r="Q89" i="1" s="1"/>
  <c r="O92" i="1"/>
  <c r="Q92" i="1" s="1"/>
  <c r="O93" i="1"/>
  <c r="Q93" i="1" s="1"/>
  <c r="R86" i="1"/>
  <c r="T86" i="1" s="1"/>
  <c r="R89" i="1"/>
  <c r="T89" i="1" s="1"/>
  <c r="R91" i="1"/>
  <c r="T91" i="1" s="1"/>
  <c r="R93" i="1"/>
  <c r="T93" i="1" s="1"/>
  <c r="U86" i="1"/>
  <c r="W86" i="1" s="1"/>
  <c r="U93" i="1"/>
  <c r="W93" i="1" s="1"/>
  <c r="A77" i="1"/>
  <c r="A78" i="1"/>
  <c r="A79" i="1"/>
  <c r="A80" i="1"/>
  <c r="A81" i="1"/>
  <c r="A82" i="1"/>
  <c r="A83" i="1"/>
  <c r="A84" i="1"/>
  <c r="A85" i="1"/>
  <c r="L77" i="1"/>
  <c r="L78" i="1"/>
  <c r="L79" i="1"/>
  <c r="L80" i="1"/>
  <c r="L81" i="1"/>
  <c r="O81" i="1" s="1"/>
  <c r="Q81" i="1" s="1"/>
  <c r="L82" i="1"/>
  <c r="O82" i="1" s="1"/>
  <c r="Q82" i="1" s="1"/>
  <c r="L83" i="1"/>
  <c r="O83" i="1" s="1"/>
  <c r="Q83" i="1" s="1"/>
  <c r="L84" i="1"/>
  <c r="O84" i="1" s="1"/>
  <c r="Q84" i="1" s="1"/>
  <c r="L85" i="1"/>
  <c r="O85" i="1" s="1"/>
  <c r="Q85" i="1" s="1"/>
  <c r="M77" i="1"/>
  <c r="R77" i="1" s="1"/>
  <c r="T77" i="1" s="1"/>
  <c r="M78" i="1"/>
  <c r="R78" i="1" s="1"/>
  <c r="T78" i="1" s="1"/>
  <c r="M79" i="1"/>
  <c r="M80" i="1"/>
  <c r="R80" i="1" s="1"/>
  <c r="T80" i="1" s="1"/>
  <c r="M81" i="1"/>
  <c r="M82" i="1"/>
  <c r="R82" i="1" s="1"/>
  <c r="T82" i="1" s="1"/>
  <c r="M83" i="1"/>
  <c r="U83" i="1" s="1"/>
  <c r="W83" i="1" s="1"/>
  <c r="M84" i="1"/>
  <c r="U84" i="1" s="1"/>
  <c r="W84" i="1" s="1"/>
  <c r="M85" i="1"/>
  <c r="U85" i="1" s="1"/>
  <c r="W85" i="1" s="1"/>
  <c r="O77" i="1"/>
  <c r="Q77" i="1" s="1"/>
  <c r="O78" i="1"/>
  <c r="Q78" i="1" s="1"/>
  <c r="O79" i="1"/>
  <c r="Q79" i="1" s="1"/>
  <c r="O80" i="1"/>
  <c r="Q80" i="1" s="1"/>
  <c r="R79" i="1"/>
  <c r="T79" i="1" s="1"/>
  <c r="R81" i="1"/>
  <c r="T81" i="1" s="1"/>
  <c r="R83" i="1"/>
  <c r="T83" i="1" s="1"/>
  <c r="R84" i="1"/>
  <c r="T84" i="1" s="1"/>
  <c r="U79" i="1"/>
  <c r="W79" i="1" s="1"/>
  <c r="U80" i="1"/>
  <c r="W80" i="1" s="1"/>
  <c r="U81" i="1"/>
  <c r="W81" i="1" s="1"/>
  <c r="U82" i="1"/>
  <c r="W82" i="1" s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L31" i="1"/>
  <c r="L32" i="1"/>
  <c r="L33" i="1"/>
  <c r="L34" i="1"/>
  <c r="O34" i="1" s="1"/>
  <c r="Q34" i="1" s="1"/>
  <c r="L35" i="1"/>
  <c r="O35" i="1" s="1"/>
  <c r="Q35" i="1" s="1"/>
  <c r="L36" i="1"/>
  <c r="O36" i="1" s="1"/>
  <c r="Q36" i="1" s="1"/>
  <c r="L37" i="1"/>
  <c r="O37" i="1" s="1"/>
  <c r="Q37" i="1" s="1"/>
  <c r="L38" i="1"/>
  <c r="L39" i="1"/>
  <c r="O39" i="1" s="1"/>
  <c r="Q39" i="1" s="1"/>
  <c r="L40" i="1"/>
  <c r="L41" i="1"/>
  <c r="O41" i="1" s="1"/>
  <c r="Q41" i="1" s="1"/>
  <c r="L42" i="1"/>
  <c r="O42" i="1" s="1"/>
  <c r="Q42" i="1" s="1"/>
  <c r="L43" i="1"/>
  <c r="O43" i="1" s="1"/>
  <c r="Q43" i="1" s="1"/>
  <c r="L44" i="1"/>
  <c r="L45" i="1"/>
  <c r="L46" i="1"/>
  <c r="O46" i="1" s="1"/>
  <c r="Q46" i="1" s="1"/>
  <c r="L47" i="1"/>
  <c r="O47" i="1" s="1"/>
  <c r="Q47" i="1" s="1"/>
  <c r="L48" i="1"/>
  <c r="O48" i="1" s="1"/>
  <c r="Q48" i="1" s="1"/>
  <c r="L49" i="1"/>
  <c r="O49" i="1" s="1"/>
  <c r="Q49" i="1" s="1"/>
  <c r="L50" i="1"/>
  <c r="L51" i="1"/>
  <c r="O51" i="1" s="1"/>
  <c r="Q51" i="1" s="1"/>
  <c r="L52" i="1"/>
  <c r="L53" i="1"/>
  <c r="L54" i="1"/>
  <c r="O54" i="1" s="1"/>
  <c r="Q54" i="1" s="1"/>
  <c r="L55" i="1"/>
  <c r="L56" i="1"/>
  <c r="L57" i="1"/>
  <c r="L58" i="1"/>
  <c r="O58" i="1" s="1"/>
  <c r="Q58" i="1" s="1"/>
  <c r="L59" i="1"/>
  <c r="O59" i="1" s="1"/>
  <c r="Q59" i="1" s="1"/>
  <c r="L60" i="1"/>
  <c r="O60" i="1" s="1"/>
  <c r="Q60" i="1" s="1"/>
  <c r="L61" i="1"/>
  <c r="O61" i="1" s="1"/>
  <c r="Q61" i="1" s="1"/>
  <c r="L62" i="1"/>
  <c r="O62" i="1" s="1"/>
  <c r="Q62" i="1" s="1"/>
  <c r="L63" i="1"/>
  <c r="O63" i="1" s="1"/>
  <c r="Q63" i="1" s="1"/>
  <c r="L64" i="1"/>
  <c r="O64" i="1" s="1"/>
  <c r="Q64" i="1" s="1"/>
  <c r="L65" i="1"/>
  <c r="O65" i="1" s="1"/>
  <c r="Q65" i="1" s="1"/>
  <c r="L66" i="1"/>
  <c r="O66" i="1" s="1"/>
  <c r="Q66" i="1" s="1"/>
  <c r="L67" i="1"/>
  <c r="O67" i="1" s="1"/>
  <c r="Q67" i="1" s="1"/>
  <c r="L68" i="1"/>
  <c r="L69" i="1"/>
  <c r="L70" i="1"/>
  <c r="O70" i="1" s="1"/>
  <c r="Q70" i="1" s="1"/>
  <c r="L71" i="1"/>
  <c r="O71" i="1" s="1"/>
  <c r="Q71" i="1" s="1"/>
  <c r="L72" i="1"/>
  <c r="O72" i="1" s="1"/>
  <c r="Q72" i="1" s="1"/>
  <c r="L73" i="1"/>
  <c r="O73" i="1" s="1"/>
  <c r="Q73" i="1" s="1"/>
  <c r="L74" i="1"/>
  <c r="L75" i="1"/>
  <c r="O75" i="1" s="1"/>
  <c r="Q75" i="1" s="1"/>
  <c r="L76" i="1"/>
  <c r="M31" i="1"/>
  <c r="U31" i="1" s="1"/>
  <c r="W31" i="1" s="1"/>
  <c r="M32" i="1"/>
  <c r="U32" i="1" s="1"/>
  <c r="W32" i="1" s="1"/>
  <c r="M33" i="1"/>
  <c r="U33" i="1" s="1"/>
  <c r="W33" i="1" s="1"/>
  <c r="M34" i="1"/>
  <c r="M35" i="1"/>
  <c r="M36" i="1"/>
  <c r="M37" i="1"/>
  <c r="R37" i="1" s="1"/>
  <c r="T37" i="1" s="1"/>
  <c r="M38" i="1"/>
  <c r="R38" i="1" s="1"/>
  <c r="T38" i="1" s="1"/>
  <c r="M39" i="1"/>
  <c r="R39" i="1" s="1"/>
  <c r="T39" i="1" s="1"/>
  <c r="M40" i="1"/>
  <c r="R40" i="1" s="1"/>
  <c r="T40" i="1" s="1"/>
  <c r="M41" i="1"/>
  <c r="R41" i="1" s="1"/>
  <c r="T41" i="1" s="1"/>
  <c r="M42" i="1"/>
  <c r="U42" i="1" s="1"/>
  <c r="W42" i="1" s="1"/>
  <c r="M43" i="1"/>
  <c r="R43" i="1" s="1"/>
  <c r="T43" i="1" s="1"/>
  <c r="M44" i="1"/>
  <c r="U44" i="1" s="1"/>
  <c r="W44" i="1" s="1"/>
  <c r="M45" i="1"/>
  <c r="U45" i="1" s="1"/>
  <c r="W45" i="1" s="1"/>
  <c r="M46" i="1"/>
  <c r="M47" i="1"/>
  <c r="M48" i="1"/>
  <c r="M49" i="1"/>
  <c r="R49" i="1" s="1"/>
  <c r="T49" i="1" s="1"/>
  <c r="M50" i="1"/>
  <c r="R50" i="1" s="1"/>
  <c r="T50" i="1" s="1"/>
  <c r="M51" i="1"/>
  <c r="R51" i="1" s="1"/>
  <c r="T51" i="1" s="1"/>
  <c r="M52" i="1"/>
  <c r="R52" i="1" s="1"/>
  <c r="T52" i="1" s="1"/>
  <c r="M53" i="1"/>
  <c r="R53" i="1" s="1"/>
  <c r="T53" i="1" s="1"/>
  <c r="M54" i="1"/>
  <c r="U54" i="1" s="1"/>
  <c r="W54" i="1" s="1"/>
  <c r="M55" i="1"/>
  <c r="U55" i="1" s="1"/>
  <c r="W55" i="1" s="1"/>
  <c r="M56" i="1"/>
  <c r="R56" i="1" s="1"/>
  <c r="T56" i="1" s="1"/>
  <c r="M57" i="1"/>
  <c r="U57" i="1" s="1"/>
  <c r="W57" i="1" s="1"/>
  <c r="M58" i="1"/>
  <c r="M59" i="1"/>
  <c r="M60" i="1"/>
  <c r="U60" i="1" s="1"/>
  <c r="W60" i="1" s="1"/>
  <c r="M61" i="1"/>
  <c r="R61" i="1" s="1"/>
  <c r="T61" i="1" s="1"/>
  <c r="M62" i="1"/>
  <c r="R62" i="1" s="1"/>
  <c r="T62" i="1" s="1"/>
  <c r="M63" i="1"/>
  <c r="R63" i="1" s="1"/>
  <c r="T63" i="1" s="1"/>
  <c r="M64" i="1"/>
  <c r="R64" i="1" s="1"/>
  <c r="T64" i="1" s="1"/>
  <c r="M65" i="1"/>
  <c r="R65" i="1" s="1"/>
  <c r="T65" i="1" s="1"/>
  <c r="M66" i="1"/>
  <c r="U66" i="1" s="1"/>
  <c r="W66" i="1" s="1"/>
  <c r="M67" i="1"/>
  <c r="U67" i="1" s="1"/>
  <c r="W67" i="1" s="1"/>
  <c r="M68" i="1"/>
  <c r="R68" i="1" s="1"/>
  <c r="T68" i="1" s="1"/>
  <c r="M69" i="1"/>
  <c r="U69" i="1" s="1"/>
  <c r="W69" i="1" s="1"/>
  <c r="M70" i="1"/>
  <c r="M71" i="1"/>
  <c r="M72" i="1"/>
  <c r="R72" i="1" s="1"/>
  <c r="T72" i="1" s="1"/>
  <c r="M73" i="1"/>
  <c r="R73" i="1" s="1"/>
  <c r="T73" i="1" s="1"/>
  <c r="M74" i="1"/>
  <c r="R74" i="1" s="1"/>
  <c r="T74" i="1" s="1"/>
  <c r="M75" i="1"/>
  <c r="R75" i="1" s="1"/>
  <c r="T75" i="1" s="1"/>
  <c r="M76" i="1"/>
  <c r="R76" i="1" s="1"/>
  <c r="T76" i="1" s="1"/>
  <c r="O31" i="1"/>
  <c r="Q31" i="1" s="1"/>
  <c r="O32" i="1"/>
  <c r="Q32" i="1" s="1"/>
  <c r="O33" i="1"/>
  <c r="Q33" i="1" s="1"/>
  <c r="O38" i="1"/>
  <c r="Q38" i="1" s="1"/>
  <c r="O40" i="1"/>
  <c r="Q40" i="1" s="1"/>
  <c r="O44" i="1"/>
  <c r="Q44" i="1" s="1"/>
  <c r="O45" i="1"/>
  <c r="Q45" i="1" s="1"/>
  <c r="O50" i="1"/>
  <c r="Q50" i="1" s="1"/>
  <c r="O52" i="1"/>
  <c r="Q52" i="1" s="1"/>
  <c r="O53" i="1"/>
  <c r="Q53" i="1" s="1"/>
  <c r="O55" i="1"/>
  <c r="Q55" i="1" s="1"/>
  <c r="O56" i="1"/>
  <c r="Q56" i="1" s="1"/>
  <c r="O57" i="1"/>
  <c r="Q57" i="1" s="1"/>
  <c r="O68" i="1"/>
  <c r="Q68" i="1" s="1"/>
  <c r="O69" i="1"/>
  <c r="Q69" i="1" s="1"/>
  <c r="O74" i="1"/>
  <c r="Q74" i="1" s="1"/>
  <c r="O76" i="1"/>
  <c r="Q76" i="1" s="1"/>
  <c r="R31" i="1"/>
  <c r="T31" i="1" s="1"/>
  <c r="R32" i="1"/>
  <c r="T32" i="1" s="1"/>
  <c r="R34" i="1"/>
  <c r="T34" i="1" s="1"/>
  <c r="R35" i="1"/>
  <c r="T35" i="1" s="1"/>
  <c r="R36" i="1"/>
  <c r="T36" i="1" s="1"/>
  <c r="R42" i="1"/>
  <c r="T42" i="1" s="1"/>
  <c r="R44" i="1"/>
  <c r="T44" i="1" s="1"/>
  <c r="R46" i="1"/>
  <c r="T46" i="1" s="1"/>
  <c r="R47" i="1"/>
  <c r="T47" i="1" s="1"/>
  <c r="R48" i="1"/>
  <c r="T48" i="1" s="1"/>
  <c r="R54" i="1"/>
  <c r="T54" i="1" s="1"/>
  <c r="R58" i="1"/>
  <c r="T58" i="1" s="1"/>
  <c r="R59" i="1"/>
  <c r="T59" i="1" s="1"/>
  <c r="R60" i="1"/>
  <c r="T60" i="1" s="1"/>
  <c r="R66" i="1"/>
  <c r="T66" i="1" s="1"/>
  <c r="R70" i="1"/>
  <c r="T70" i="1" s="1"/>
  <c r="R71" i="1"/>
  <c r="T71" i="1" s="1"/>
  <c r="U34" i="1"/>
  <c r="W34" i="1" s="1"/>
  <c r="U35" i="1"/>
  <c r="W35" i="1" s="1"/>
  <c r="U36" i="1"/>
  <c r="W36" i="1" s="1"/>
  <c r="U37" i="1"/>
  <c r="W37" i="1" s="1"/>
  <c r="U38" i="1"/>
  <c r="W38" i="1" s="1"/>
  <c r="U39" i="1"/>
  <c r="W39" i="1" s="1"/>
  <c r="U40" i="1"/>
  <c r="W40" i="1" s="1"/>
  <c r="U43" i="1"/>
  <c r="W43" i="1" s="1"/>
  <c r="U46" i="1"/>
  <c r="W46" i="1" s="1"/>
  <c r="U47" i="1"/>
  <c r="W47" i="1" s="1"/>
  <c r="U48" i="1"/>
  <c r="W48" i="1" s="1"/>
  <c r="U49" i="1"/>
  <c r="W49" i="1" s="1"/>
  <c r="U50" i="1"/>
  <c r="W50" i="1" s="1"/>
  <c r="U51" i="1"/>
  <c r="W51" i="1" s="1"/>
  <c r="U52" i="1"/>
  <c r="W52" i="1" s="1"/>
  <c r="U56" i="1"/>
  <c r="W56" i="1" s="1"/>
  <c r="U58" i="1"/>
  <c r="W58" i="1" s="1"/>
  <c r="U59" i="1"/>
  <c r="W59" i="1" s="1"/>
  <c r="U70" i="1"/>
  <c r="W70" i="1" s="1"/>
  <c r="U71" i="1"/>
  <c r="W71" i="1" s="1"/>
  <c r="U72" i="1"/>
  <c r="W72" i="1" s="1"/>
  <c r="U73" i="1"/>
  <c r="W73" i="1" s="1"/>
  <c r="U74" i="1"/>
  <c r="W74" i="1" s="1"/>
  <c r="U96" i="1" l="1"/>
  <c r="W96" i="1" s="1"/>
  <c r="U95" i="1"/>
  <c r="W95" i="1" s="1"/>
  <c r="R94" i="1"/>
  <c r="T94" i="1" s="1"/>
  <c r="R92" i="1"/>
  <c r="T92" i="1" s="1"/>
  <c r="R88" i="1"/>
  <c r="T88" i="1" s="1"/>
  <c r="R87" i="1"/>
  <c r="T87" i="1" s="1"/>
  <c r="U90" i="1"/>
  <c r="W90" i="1" s="1"/>
  <c r="U62" i="1"/>
  <c r="W62" i="1" s="1"/>
  <c r="R57" i="1"/>
  <c r="T57" i="1" s="1"/>
  <c r="R45" i="1"/>
  <c r="T45" i="1" s="1"/>
  <c r="U64" i="1"/>
  <c r="W64" i="1" s="1"/>
  <c r="U68" i="1"/>
  <c r="W68" i="1" s="1"/>
  <c r="U63" i="1"/>
  <c r="W63" i="1" s="1"/>
  <c r="U76" i="1"/>
  <c r="W76" i="1" s="1"/>
  <c r="U61" i="1"/>
  <c r="W61" i="1" s="1"/>
  <c r="U75" i="1"/>
  <c r="W75" i="1" s="1"/>
  <c r="R55" i="1"/>
  <c r="T55" i="1" s="1"/>
  <c r="R33" i="1"/>
  <c r="T33" i="1" s="1"/>
  <c r="R69" i="1"/>
  <c r="T69" i="1" s="1"/>
  <c r="R67" i="1"/>
  <c r="T67" i="1" s="1"/>
  <c r="U78" i="1"/>
  <c r="W78" i="1" s="1"/>
  <c r="R85" i="1"/>
  <c r="T85" i="1" s="1"/>
  <c r="U77" i="1"/>
  <c r="W77" i="1" s="1"/>
  <c r="U65" i="1"/>
  <c r="W65" i="1" s="1"/>
  <c r="U53" i="1"/>
  <c r="W53" i="1" s="1"/>
  <c r="U41" i="1"/>
  <c r="W41" i="1" s="1"/>
  <c r="A30" i="1"/>
  <c r="L30" i="1"/>
  <c r="O30" i="1" s="1"/>
  <c r="Q30" i="1" s="1"/>
  <c r="M30" i="1"/>
  <c r="R30" i="1" s="1"/>
  <c r="T30" i="1" s="1"/>
  <c r="U30" i="1" l="1"/>
  <c r="W30" i="1" s="1"/>
  <c r="A23" i="1"/>
  <c r="A24" i="1"/>
  <c r="A25" i="1"/>
  <c r="A26" i="1"/>
  <c r="A27" i="1"/>
  <c r="A28" i="1"/>
  <c r="A29" i="1"/>
  <c r="L23" i="1"/>
  <c r="O23" i="1" s="1"/>
  <c r="Q23" i="1" s="1"/>
  <c r="L24" i="1"/>
  <c r="O24" i="1" s="1"/>
  <c r="Q24" i="1" s="1"/>
  <c r="L25" i="1"/>
  <c r="L26" i="1"/>
  <c r="O26" i="1" s="1"/>
  <c r="Q26" i="1" s="1"/>
  <c r="L27" i="1"/>
  <c r="O27" i="1" s="1"/>
  <c r="Q27" i="1" s="1"/>
  <c r="L28" i="1"/>
  <c r="O28" i="1" s="1"/>
  <c r="Q28" i="1" s="1"/>
  <c r="L29" i="1"/>
  <c r="O29" i="1" s="1"/>
  <c r="Q29" i="1" s="1"/>
  <c r="M23" i="1"/>
  <c r="U23" i="1" s="1"/>
  <c r="W23" i="1" s="1"/>
  <c r="M24" i="1"/>
  <c r="U24" i="1" s="1"/>
  <c r="W24" i="1" s="1"/>
  <c r="M25" i="1"/>
  <c r="M26" i="1"/>
  <c r="M27" i="1"/>
  <c r="M28" i="1"/>
  <c r="M29" i="1"/>
  <c r="R29" i="1" s="1"/>
  <c r="T29" i="1" s="1"/>
  <c r="O25" i="1"/>
  <c r="Q25" i="1" s="1"/>
  <c r="R25" i="1"/>
  <c r="T25" i="1" s="1"/>
  <c r="R26" i="1"/>
  <c r="T26" i="1" s="1"/>
  <c r="R27" i="1"/>
  <c r="T27" i="1" s="1"/>
  <c r="R28" i="1"/>
  <c r="T28" i="1" s="1"/>
  <c r="U25" i="1"/>
  <c r="W25" i="1" s="1"/>
  <c r="U26" i="1"/>
  <c r="W26" i="1" s="1"/>
  <c r="U27" i="1"/>
  <c r="W27" i="1" s="1"/>
  <c r="U28" i="1"/>
  <c r="W28" i="1" s="1"/>
  <c r="U29" i="1"/>
  <c r="W29" i="1" s="1"/>
  <c r="R24" i="1" l="1"/>
  <c r="T24" i="1" s="1"/>
  <c r="R23" i="1"/>
  <c r="T23" i="1" s="1"/>
  <c r="L12" i="1" l="1"/>
  <c r="O12" i="1" s="1"/>
  <c r="Q12" i="1" s="1"/>
  <c r="M12" i="1"/>
  <c r="R12" i="1" s="1"/>
  <c r="T12" i="1" s="1"/>
  <c r="L5" i="1"/>
  <c r="O5" i="1" s="1"/>
  <c r="Q5" i="1" s="1"/>
  <c r="M5" i="1"/>
  <c r="R5" i="1" s="1"/>
  <c r="T5" i="1" s="1"/>
  <c r="L4" i="1"/>
  <c r="O4" i="1" s="1"/>
  <c r="Q4" i="1" s="1"/>
  <c r="M4" i="1"/>
  <c r="R4" i="1" s="1"/>
  <c r="T4" i="1" s="1"/>
  <c r="L6" i="1"/>
  <c r="O6" i="1" s="1"/>
  <c r="Q6" i="1" s="1"/>
  <c r="M6" i="1"/>
  <c r="R6" i="1" s="1"/>
  <c r="T6" i="1" s="1"/>
  <c r="L3" i="1"/>
  <c r="O3" i="1" s="1"/>
  <c r="Q3" i="1" s="1"/>
  <c r="M3" i="1"/>
  <c r="R3" i="1" s="1"/>
  <c r="T3" i="1" s="1"/>
  <c r="L11" i="1"/>
  <c r="O11" i="1" s="1"/>
  <c r="Q11" i="1" s="1"/>
  <c r="M11" i="1"/>
  <c r="R11" i="1" s="1"/>
  <c r="T11" i="1" s="1"/>
  <c r="L13" i="1"/>
  <c r="O13" i="1" s="1"/>
  <c r="Q13" i="1" s="1"/>
  <c r="M13" i="1"/>
  <c r="R13" i="1" s="1"/>
  <c r="T13" i="1" s="1"/>
  <c r="L15" i="1"/>
  <c r="O15" i="1" s="1"/>
  <c r="Q15" i="1" s="1"/>
  <c r="M15" i="1"/>
  <c r="U15" i="1" s="1"/>
  <c r="W15" i="1" s="1"/>
  <c r="L14" i="1"/>
  <c r="O14" i="1" s="1"/>
  <c r="Q14" i="1" s="1"/>
  <c r="M14" i="1"/>
  <c r="R14" i="1" s="1"/>
  <c r="T14" i="1" s="1"/>
  <c r="L10" i="1"/>
  <c r="O10" i="1" s="1"/>
  <c r="Q10" i="1" s="1"/>
  <c r="M10" i="1"/>
  <c r="R10" i="1" s="1"/>
  <c r="T10" i="1" s="1"/>
  <c r="L8" i="1"/>
  <c r="O8" i="1" s="1"/>
  <c r="Q8" i="1" s="1"/>
  <c r="M8" i="1"/>
  <c r="R8" i="1" s="1"/>
  <c r="T8" i="1" s="1"/>
  <c r="L7" i="1"/>
  <c r="O7" i="1" s="1"/>
  <c r="Q7" i="1" s="1"/>
  <c r="M7" i="1"/>
  <c r="U7" i="1" s="1"/>
  <c r="W7" i="1" s="1"/>
  <c r="L9" i="1"/>
  <c r="O9" i="1" s="1"/>
  <c r="Q9" i="1" s="1"/>
  <c r="M9" i="1"/>
  <c r="R9" i="1" s="1"/>
  <c r="T9" i="1" s="1"/>
  <c r="L19" i="1"/>
  <c r="O19" i="1" s="1"/>
  <c r="Q19" i="1" s="1"/>
  <c r="M19" i="1"/>
  <c r="R19" i="1" s="1"/>
  <c r="T19" i="1" s="1"/>
  <c r="L16" i="1"/>
  <c r="O16" i="1" s="1"/>
  <c r="Q16" i="1" s="1"/>
  <c r="M16" i="1"/>
  <c r="R16" i="1" s="1"/>
  <c r="T16" i="1" s="1"/>
  <c r="L20" i="1"/>
  <c r="O20" i="1" s="1"/>
  <c r="Q20" i="1" s="1"/>
  <c r="M20" i="1"/>
  <c r="R20" i="1" s="1"/>
  <c r="T20" i="1" s="1"/>
  <c r="L18" i="1"/>
  <c r="O18" i="1" s="1"/>
  <c r="Q18" i="1" s="1"/>
  <c r="M18" i="1"/>
  <c r="R18" i="1" s="1"/>
  <c r="T18" i="1" s="1"/>
  <c r="L17" i="1"/>
  <c r="O17" i="1" s="1"/>
  <c r="Q17" i="1" s="1"/>
  <c r="M17" i="1"/>
  <c r="U17" i="1" s="1"/>
  <c r="W17" i="1" s="1"/>
  <c r="L22" i="1"/>
  <c r="O22" i="1" s="1"/>
  <c r="Q22" i="1" s="1"/>
  <c r="M22" i="1"/>
  <c r="R22" i="1" s="1"/>
  <c r="T22" i="1" s="1"/>
  <c r="L21" i="1"/>
  <c r="O21" i="1" s="1"/>
  <c r="Q21" i="1" s="1"/>
  <c r="M21" i="1"/>
  <c r="R21" i="1" s="1"/>
  <c r="T21" i="1" s="1"/>
  <c r="L2" i="1"/>
  <c r="O2" i="1" s="1"/>
  <c r="Q2" i="1" s="1"/>
  <c r="M2" i="1"/>
  <c r="R2" i="1" s="1"/>
  <c r="T2" i="1" s="1"/>
  <c r="R7" i="1" l="1"/>
  <c r="T7" i="1" s="1"/>
  <c r="U22" i="1"/>
  <c r="W22" i="1" s="1"/>
  <c r="U19" i="1"/>
  <c r="W19" i="1" s="1"/>
  <c r="U21" i="1"/>
  <c r="W21" i="1" s="1"/>
  <c r="U14" i="1"/>
  <c r="W14" i="1" s="1"/>
  <c r="R15" i="1"/>
  <c r="T15" i="1" s="1"/>
  <c r="U18" i="1"/>
  <c r="W18" i="1" s="1"/>
  <c r="U5" i="1"/>
  <c r="W5" i="1" s="1"/>
  <c r="U11" i="1"/>
  <c r="W11" i="1" s="1"/>
  <c r="U4" i="1"/>
  <c r="W4" i="1" s="1"/>
  <c r="U8" i="1"/>
  <c r="W8" i="1" s="1"/>
  <c r="U3" i="1"/>
  <c r="W3" i="1" s="1"/>
  <c r="R17" i="1"/>
  <c r="T17" i="1" s="1"/>
  <c r="U16" i="1"/>
  <c r="W16" i="1" s="1"/>
  <c r="U20" i="1"/>
  <c r="W20" i="1" s="1"/>
  <c r="U9" i="1"/>
  <c r="W9" i="1" s="1"/>
  <c r="U12" i="1"/>
  <c r="W12" i="1" s="1"/>
  <c r="U10" i="1"/>
  <c r="W10" i="1" s="1"/>
  <c r="U6" i="1"/>
  <c r="W6" i="1" s="1"/>
  <c r="U2" i="1"/>
  <c r="W2" i="1" s="1"/>
  <c r="U13" i="1"/>
  <c r="W13" i="1" s="1"/>
  <c r="A17" i="1" l="1"/>
  <c r="A22" i="1"/>
  <c r="A21" i="1"/>
  <c r="A2" i="1"/>
  <c r="A3" i="1"/>
  <c r="A11" i="1"/>
  <c r="A13" i="1"/>
  <c r="A15" i="1"/>
  <c r="A14" i="1"/>
  <c r="A10" i="1"/>
  <c r="A8" i="1"/>
  <c r="A7" i="1"/>
  <c r="A9" i="1"/>
  <c r="A19" i="1"/>
  <c r="A16" i="1"/>
  <c r="A20" i="1"/>
  <c r="A18" i="1"/>
  <c r="A12" i="1"/>
  <c r="A5" i="1"/>
  <c r="A4" i="1"/>
  <c r="A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Völler, Jonas</author>
  </authors>
  <commentList>
    <comment ref="S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Völler, Jonas:</t>
        </r>
        <r>
          <rPr>
            <sz val="9"/>
            <color indexed="81"/>
            <rFont val="Segoe UI"/>
            <family val="2"/>
          </rPr>
          <t xml:space="preserve">
Configurationstring als ASCII aus Wireshark kopieren</t>
        </r>
      </text>
    </comment>
    <comment ref="V1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Völler, Jonas:</t>
        </r>
        <r>
          <rPr>
            <sz val="9"/>
            <color indexed="81"/>
            <rFont val="Segoe UI"/>
            <family val="2"/>
          </rPr>
          <t xml:space="preserve">
Payload als Wert kopieren</t>
        </r>
      </text>
    </comment>
  </commentList>
</comments>
</file>

<file path=xl/sharedStrings.xml><?xml version="1.0" encoding="utf-8"?>
<sst xmlns="http://schemas.openxmlformats.org/spreadsheetml/2006/main" count="602" uniqueCount="49">
  <si>
    <t>MEKRA-Nr.:</t>
  </si>
  <si>
    <t>Lfd.:</t>
  </si>
  <si>
    <t>Bezeichung:</t>
  </si>
  <si>
    <t>Volvo Nr.:</t>
  </si>
  <si>
    <t>Volvo Index / Rev.:</t>
  </si>
  <si>
    <t>PAR:</t>
  </si>
  <si>
    <t>MAC.Adresse:</t>
  </si>
  <si>
    <t>DMC identisch:</t>
  </si>
  <si>
    <t>SNr.:</t>
  </si>
  <si>
    <t>Datum:</t>
  </si>
  <si>
    <t>Configuration String aus SOME/IP-SD SOLL:</t>
  </si>
  <si>
    <t>Configuration String aus SOME/IP-SD IST:</t>
  </si>
  <si>
    <t>Devicetype:</t>
  </si>
  <si>
    <t>MAC 2:</t>
  </si>
  <si>
    <t>Configuration String identisch:</t>
  </si>
  <si>
    <t>Payload getCamIdentifikation (Wireshark) IST:</t>
  </si>
  <si>
    <t>Payload getCamIdentifikation (Wireshark) SOLL:</t>
  </si>
  <si>
    <t>subscribe Video stream 1</t>
  </si>
  <si>
    <t>subscribe Video stream 2</t>
  </si>
  <si>
    <t>snpn:</t>
  </si>
  <si>
    <t>OK</t>
  </si>
  <si>
    <t>NOK</t>
  </si>
  <si>
    <t>Powerconsumption (0,16A ±0,08A) in [A]
@28,0V @ RT</t>
  </si>
  <si>
    <t>Payload getCamIdentifikation identisch:</t>
  </si>
  <si>
    <t>Index Kamera:</t>
  </si>
  <si>
    <t>Volvo Nummer Kamera:</t>
  </si>
  <si>
    <t>DMC Kamera SOLL:</t>
  </si>
  <si>
    <t>DMC Kamera IST:</t>
  </si>
  <si>
    <t>Shutterfunktion 
wenn vorhanden:</t>
  </si>
  <si>
    <t>N/A</t>
  </si>
  <si>
    <t>rcam_2</t>
  </si>
  <si>
    <t>B03</t>
  </si>
  <si>
    <t>RLC Standard Kamera 1315 Rigid Side Mount VOLVO</t>
  </si>
  <si>
    <t>281315009001</t>
  </si>
  <si>
    <t>MCC Standard 1315 1Gbit VOLVO</t>
  </si>
  <si>
    <t>MCC Standard 1315 100Mbit VOLVO</t>
  </si>
  <si>
    <t>RLC Standard Kamera 1315 Tractor Side General VOLVO</t>
  </si>
  <si>
    <t>281315001000</t>
  </si>
  <si>
    <t>281315002000</t>
  </si>
  <si>
    <t>281315005001</t>
  </si>
  <si>
    <t>B02</t>
  </si>
  <si>
    <t>acam_2</t>
  </si>
  <si>
    <t>10C1</t>
  </si>
  <si>
    <t>30C1</t>
  </si>
  <si>
    <t>20C1</t>
  </si>
  <si>
    <t>acam_2s</t>
  </si>
  <si>
    <t>281315501001</t>
  </si>
  <si>
    <t>Kit MCC Slim 1315 100Mbit VOLVO</t>
  </si>
  <si>
    <t>PAR10C1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</si>
</sst>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</font>
    <font>
      <sz val="10"/>
      <name val="Arial"/>
      <family val="2"/>
    </font>
    <font>
      <sz val="11"/>
      <color rgb="FF9C0006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7" fillId="2" borderId="0" applyNumberFormat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164" fontId="4" fillId="0" borderId="0" xfId="0" applyNumberFormat="1" applyFont="1" applyAlignment="1">
      <alignment vertical="center"/>
    </xf>
    <xf numFmtId="164" fontId="3" fillId="0" borderId="0" xfId="0" applyNumberFormat="1" applyFont="1"/>
    <xf numFmtId="0" fontId="5" fillId="0" borderId="0" xfId="0" applyFont="1" applyAlignment="1">
      <alignment vertical="center"/>
    </xf>
    <xf numFmtId="0" fontId="0" fillId="0" borderId="0" xfId="0" quotePrefix="1"/>
    <xf numFmtId="0" fontId="5" fillId="3" borderId="0" xfId="0" applyFont="1" applyFill="1" applyAlignment="1">
      <alignment vertical="center"/>
    </xf>
  </cellXfs>
  <cellStyles count="3">
    <cellStyle name="Schlecht 2" xfId="2" xr:uid="{00000000-0005-0000-0000-000000000000}"/>
    <cellStyle name="Standard" xfId="0" builtinId="0"/>
    <cellStyle name="Standard 2" xfId="1" xr:uid="{00000000-0005-0000-0000-000002000000}"/>
  </cellStyles>
  <dxfs count="3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AA96" totalsRowShown="0" headerRowDxfId="33" dataDxfId="32">
  <autoFilter ref="A1:AA96" xr:uid="{00000000-0009-0000-0100-000001000000}"/>
  <sortState xmlns:xlrd2="http://schemas.microsoft.com/office/spreadsheetml/2017/richdata2" ref="A2:AA22">
    <sortCondition ref="K1:K22"/>
  </sortState>
  <tableColumns count="27">
    <tableColumn id="1" xr3:uid="{00000000-0010-0000-0000-000001000000}" name="Lfd.:" dataDxfId="31">
      <calculatedColumnFormula>ROW()-1</calculatedColumnFormula>
    </tableColumn>
    <tableColumn id="2" xr3:uid="{00000000-0010-0000-0000-000002000000}" name="MEKRA-Nr.:" dataDxfId="30"/>
    <tableColumn id="3" xr3:uid="{00000000-0010-0000-0000-000003000000}" name="Bezeichung:" dataDxfId="29"/>
    <tableColumn id="15" xr3:uid="{00000000-0010-0000-0000-00000F000000}" name="Devicetype:" dataDxfId="28"/>
    <tableColumn id="4" xr3:uid="{00000000-0010-0000-0000-000004000000}" name="Volvo Nr.:" dataDxfId="27"/>
    <tableColumn id="26" xr3:uid="{00000000-0010-0000-0000-00001A000000}" name="Volvo Nummer Kamera:"/>
    <tableColumn id="5" xr3:uid="{00000000-0010-0000-0000-000005000000}" name="Volvo Index / Rev.:" dataDxfId="26"/>
    <tableColumn id="25" xr3:uid="{00000000-0010-0000-0000-000019000000}" name="Index Kamera:"/>
    <tableColumn id="21" xr3:uid="{00000000-0010-0000-0000-000015000000}" name="snpn:" dataDxfId="25"/>
    <tableColumn id="6" xr3:uid="{00000000-0010-0000-0000-000006000000}" name="PAR:" dataDxfId="24"/>
    <tableColumn id="7" xr3:uid="{00000000-0010-0000-0000-000007000000}" name="SNr.:" dataDxfId="23"/>
    <tableColumn id="8" xr3:uid="{00000000-0010-0000-0000-000008000000}" name="MAC.Adresse:" dataDxfId="22">
      <calculatedColumnFormula>"98D3D2-00"&amp;DEC2HEX(K2)</calculatedColumnFormula>
    </tableColumn>
    <tableColumn id="16" xr3:uid="{00000000-0010-0000-0000-000010000000}" name="MAC 2:" dataDxfId="21">
      <calculatedColumnFormula>"98D3D200"&amp;DEC2HEX(K2)</calculatedColumnFormula>
    </tableColumn>
    <tableColumn id="12" xr3:uid="{00000000-0010-0000-0000-00000C000000}" name="Datum:" dataDxfId="20"/>
    <tableColumn id="9" xr3:uid="{00000000-0010-0000-0000-000009000000}" name="DMC Kamera SOLL:" dataDxfId="19">
      <calculatedColumnFormula>Tabelle1[[#This Row],[Volvo Nummer Kamera:]]&amp;"&amp;"&amp;Tabelle1[[#This Row],[Datum:]]&amp;"&amp;"&amp;Tabelle1[[#This Row],[SNr.:]]&amp;"&amp;"&amp;Tabelle1[[#This Row],[MAC.Adresse:]]&amp;"&amp;"&amp;Tabelle1[[#This Row],[Index Kamera:]]</calculatedColumnFormula>
    </tableColumn>
    <tableColumn id="10" xr3:uid="{00000000-0010-0000-0000-00000A000000}" name="DMC Kamera IST:" dataDxfId="18"/>
    <tableColumn id="11" xr3:uid="{00000000-0010-0000-0000-00000B000000}" name="DMC identisch:" dataDxfId="17">
      <calculatedColumnFormula>EXACT(Tabelle1[[#This Row],[DMC Kamera SOLL:]],Tabelle1[[#This Row],[DMC Kamera IST:]])</calculatedColumnFormula>
    </tableColumn>
    <tableColumn id="13" xr3:uid="{00000000-0010-0000-0000-00000D000000}" name="Configuration String aus SOME/IP-SD SOLL:" dataDxfId="16">
      <calculatedColumnFormula>"mac_address="&amp;Tabelle1[[#This Row],[MAC 2:]]&amp;"serial_nb=000"&amp;Tabelle1[[#This Row],[SNr.:]]&amp;"device_type="&amp;Tabelle1[[#This Row],[Devicetype:]]</calculatedColumnFormula>
    </tableColumn>
    <tableColumn id="14" xr3:uid="{00000000-0010-0000-0000-00000E000000}" name="Configuration String aus SOME/IP-SD IST:" dataDxfId="15"/>
    <tableColumn id="17" xr3:uid="{00000000-0010-0000-0000-000011000000}" name="Configuration String identisch:" dataDxfId="14">
      <calculatedColumnFormula>EXACT(Tabelle1[[#This Row],[Configuration String aus SOME/IP-SD SOLL:]],Tabelle1[[#This Row],[Configuration String aus SOME/IP-SD IST:]])</calculatedColumnFormula>
    </tableColumn>
    <tableColumn id="18" xr3:uid="{00000000-0010-0000-0000-000012000000}" name="Payload getCamIdentifikation (Wireshark) SOLL:" dataDxfId="13">
      <calculatedColumnFormula>Tabelle1[[#This Row],[snpn:]]&amp;"000"&amp;Tabelle1[[#This Row],[SNr.:]]&amp;LOWER(Tabelle1[[#This Row],[MAC 2:]])</calculatedColumnFormula>
    </tableColumn>
    <tableColumn id="19" xr3:uid="{00000000-0010-0000-0000-000013000000}" name="Payload getCamIdentifikation (Wireshark) IST:" dataDxfId="12"/>
    <tableColumn id="20" xr3:uid="{00000000-0010-0000-0000-000014000000}" name="Payload getCamIdentifikation identisch:" dataDxfId="11">
      <calculatedColumnFormula>EXACT(Tabelle1[[#This Row],[Payload getCamIdentifikation (Wireshark) SOLL:]],Tabelle1[[#This Row],[Payload getCamIdentifikation (Wireshark) IST:]])</calculatedColumnFormula>
    </tableColumn>
    <tableColumn id="22" xr3:uid="{00000000-0010-0000-0000-000016000000}" name="subscribe Video stream 1" dataDxfId="10"/>
    <tableColumn id="23" xr3:uid="{00000000-0010-0000-0000-000017000000}" name="subscribe Video stream 2" dataDxfId="9"/>
    <tableColumn id="27" xr3:uid="{00000000-0010-0000-0000-00001B000000}" name="Shutterfunktion _x000a_wenn vorhanden:" dataDxfId="8"/>
    <tableColumn id="24" xr3:uid="{00000000-0010-0000-0000-000018000000}" name="Powerconsumption (0,16A ±0,08A) in [A]_x000a_@28,0V @ RT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6"/>
  <sheetViews>
    <sheetView tabSelected="1" topLeftCell="I71" zoomScale="90" zoomScaleNormal="90" workbookViewId="0">
      <selection activeCell="N90" sqref="N90"/>
    </sheetView>
  </sheetViews>
  <sheetFormatPr baseColWidth="10" defaultRowHeight="15" x14ac:dyDescent="0.2"/>
  <cols>
    <col min="1" max="1" width="7.5" style="1" bestFit="1" customWidth="1"/>
    <col min="2" max="2" width="14.625" style="1" bestFit="1" customWidth="1"/>
    <col min="3" max="3" width="45.125" style="1" customWidth="1"/>
    <col min="4" max="4" width="14.75" style="1" bestFit="1" customWidth="1"/>
    <col min="5" max="5" width="12.625" style="1" bestFit="1" customWidth="1"/>
    <col min="6" max="6" width="11.375" style="1" customWidth="1"/>
    <col min="7" max="7" width="9.25" style="1" customWidth="1"/>
    <col min="8" max="8" width="11.25" style="1" bestFit="1" customWidth="1"/>
    <col min="9" max="9" width="12.375" style="1" bestFit="1" customWidth="1"/>
    <col min="10" max="10" width="10.125" style="1" bestFit="1" customWidth="1"/>
    <col min="11" max="11" width="8" style="1" bestFit="1" customWidth="1"/>
    <col min="12" max="12" width="16.75" style="1" bestFit="1" customWidth="1"/>
    <col min="13" max="13" width="15.75" style="1" bestFit="1" customWidth="1"/>
    <col min="14" max="14" width="15.5" style="1" customWidth="1"/>
    <col min="15" max="15" width="47.75" style="1" bestFit="1" customWidth="1"/>
    <col min="16" max="16" width="50.625" style="1" customWidth="1"/>
    <col min="17" max="17" width="17.75" style="1" bestFit="1" customWidth="1"/>
    <col min="18" max="18" width="68.25" style="1" bestFit="1" customWidth="1"/>
    <col min="19" max="19" width="68" style="1" bestFit="1" customWidth="1"/>
    <col min="20" max="20" width="15.625" style="1" customWidth="1"/>
    <col min="21" max="22" width="35.375" style="1" bestFit="1" customWidth="1"/>
    <col min="23" max="23" width="20.75" style="1" customWidth="1"/>
    <col min="24" max="25" width="12.625" style="1" customWidth="1"/>
    <col min="26" max="26" width="16.625" style="1" customWidth="1"/>
    <col min="27" max="27" width="20.625" style="8" customWidth="1"/>
    <col min="28" max="28" width="20.25" style="1" customWidth="1"/>
    <col min="29" max="16384" width="11" style="1"/>
  </cols>
  <sheetData>
    <row r="1" spans="1:27" s="3" customFormat="1" ht="45" x14ac:dyDescent="0.2">
      <c r="A1" s="3" t="s">
        <v>1</v>
      </c>
      <c r="B1" s="3" t="s">
        <v>0</v>
      </c>
      <c r="C1" s="3" t="s">
        <v>2</v>
      </c>
      <c r="D1" s="3" t="s">
        <v>12</v>
      </c>
      <c r="E1" s="3" t="s">
        <v>3</v>
      </c>
      <c r="F1" s="3" t="s">
        <v>25</v>
      </c>
      <c r="G1" s="3" t="s">
        <v>4</v>
      </c>
      <c r="H1" s="3" t="s">
        <v>24</v>
      </c>
      <c r="I1" s="3" t="s">
        <v>19</v>
      </c>
      <c r="J1" s="3" t="s">
        <v>5</v>
      </c>
      <c r="K1" s="3" t="s">
        <v>8</v>
      </c>
      <c r="L1" s="3" t="s">
        <v>6</v>
      </c>
      <c r="M1" s="3" t="s">
        <v>13</v>
      </c>
      <c r="N1" s="3" t="s">
        <v>9</v>
      </c>
      <c r="O1" s="3" t="s">
        <v>26</v>
      </c>
      <c r="P1" s="3" t="s">
        <v>27</v>
      </c>
      <c r="Q1" s="3" t="s">
        <v>7</v>
      </c>
      <c r="R1" s="3" t="s">
        <v>10</v>
      </c>
      <c r="S1" s="3" t="s">
        <v>11</v>
      </c>
      <c r="T1" s="3" t="s">
        <v>14</v>
      </c>
      <c r="U1" s="3" t="s">
        <v>16</v>
      </c>
      <c r="V1" s="3" t="s">
        <v>15</v>
      </c>
      <c r="W1" s="3" t="s">
        <v>23</v>
      </c>
      <c r="X1" s="5" t="s">
        <v>17</v>
      </c>
      <c r="Y1" s="5" t="s">
        <v>18</v>
      </c>
      <c r="Z1" s="5" t="s">
        <v>28</v>
      </c>
      <c r="AA1" s="6" t="s">
        <v>22</v>
      </c>
    </row>
    <row r="2" spans="1:27" x14ac:dyDescent="0.2">
      <c r="A2" s="9">
        <f t="shared" ref="A2:A22" si="0">ROW()-1</f>
        <v>1</v>
      </c>
      <c r="B2" s="10" t="s">
        <v>33</v>
      </c>
      <c r="C2" t="s">
        <v>32</v>
      </c>
      <c r="D2" s="2" t="s">
        <v>30</v>
      </c>
      <c r="E2">
        <v>24570242</v>
      </c>
      <c r="F2">
        <v>24548571</v>
      </c>
      <c r="G2" t="s">
        <v>40</v>
      </c>
      <c r="H2" t="s">
        <v>31</v>
      </c>
      <c r="I2">
        <v>4324548571</v>
      </c>
      <c r="J2" t="s">
        <v>42</v>
      </c>
      <c r="K2">
        <v>12814</v>
      </c>
      <c r="L2" t="str">
        <f t="shared" ref="L2:L22" si="1">"98D3D2-00"&amp;DEC2HEX(K2)</f>
        <v>98D3D2-00320E</v>
      </c>
      <c r="M2" s="9" t="str">
        <f t="shared" ref="M2:M22" si="2">"98D3D200"&amp;DEC2HEX(K2)</f>
        <v>98D3D200320E</v>
      </c>
      <c r="N2">
        <v>260515</v>
      </c>
      <c r="O2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24548571&amp;260515&amp;12814&amp;98D3D2-00320E&amp;B03</v>
      </c>
      <c r="P2" s="9"/>
      <c r="Q2" s="9" t="b">
        <f>EXACT(Tabelle1[[#This Row],[DMC Kamera SOLL:]],Tabelle1[[#This Row],[DMC Kamera IST:]])</f>
        <v>0</v>
      </c>
      <c r="R2" s="9" t="str">
        <f>"mac_address="&amp;Tabelle1[[#This Row],[MAC 2:]]&amp;"serial_nb=000"&amp;Tabelle1[[#This Row],[SNr.:]]&amp;"device_type="&amp;Tabelle1[[#This Row],[Devicetype:]]</f>
        <v>mac_address=98D3D200320Eserial_nb=00012814device_type=rcam_2</v>
      </c>
      <c r="S2" s="9"/>
      <c r="T2" s="9" t="b">
        <f>EXACT(Tabelle1[[#This Row],[Configuration String aus SOME/IP-SD SOLL:]],Tabelle1[[#This Row],[Configuration String aus SOME/IP-SD IST:]])</f>
        <v>0</v>
      </c>
      <c r="U2" s="9" t="str">
        <f>Tabelle1[[#This Row],[snpn:]]&amp;"000"&amp;Tabelle1[[#This Row],[SNr.:]]&amp;LOWER(Tabelle1[[#This Row],[MAC 2:]])</f>
        <v>43245485710001281498d3d200320e</v>
      </c>
      <c r="V2" s="9"/>
      <c r="W2" s="9" t="b">
        <f>EXACT(Tabelle1[[#This Row],[Payload getCamIdentifikation (Wireshark) SOLL:]],Tabelle1[[#This Row],[Payload getCamIdentifikation (Wireshark) IST:]])</f>
        <v>0</v>
      </c>
      <c r="X2" s="9"/>
      <c r="Y2" s="9"/>
      <c r="Z2" s="9"/>
      <c r="AA2" s="9"/>
    </row>
    <row r="3" spans="1:27" x14ac:dyDescent="0.2">
      <c r="A3" s="9">
        <f t="shared" si="0"/>
        <v>2</v>
      </c>
      <c r="B3" s="10" t="s">
        <v>37</v>
      </c>
      <c r="C3" t="s">
        <v>34</v>
      </c>
      <c r="D3" s="2" t="s">
        <v>30</v>
      </c>
      <c r="E3">
        <v>24548571</v>
      </c>
      <c r="F3">
        <v>24548571</v>
      </c>
      <c r="G3" t="s">
        <v>31</v>
      </c>
      <c r="H3" t="s">
        <v>31</v>
      </c>
      <c r="I3">
        <v>4324548571</v>
      </c>
      <c r="J3" t="s">
        <v>42</v>
      </c>
      <c r="K3">
        <v>12844</v>
      </c>
      <c r="L3" t="str">
        <f t="shared" si="1"/>
        <v>98D3D2-00322C</v>
      </c>
      <c r="M3" s="9" t="str">
        <f t="shared" si="2"/>
        <v>98D3D200322C</v>
      </c>
      <c r="N3">
        <v>260515</v>
      </c>
      <c r="O3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24548571&amp;260515&amp;12844&amp;98D3D2-00322C&amp;B03</v>
      </c>
      <c r="P3" s="9"/>
      <c r="Q3" s="9" t="b">
        <f>EXACT(Tabelle1[[#This Row],[DMC Kamera SOLL:]],Tabelle1[[#This Row],[DMC Kamera IST:]])</f>
        <v>0</v>
      </c>
      <c r="R3" s="9" t="str">
        <f>"mac_address="&amp;Tabelle1[[#This Row],[MAC 2:]]&amp;"serial_nb=000"&amp;Tabelle1[[#This Row],[SNr.:]]&amp;"device_type="&amp;Tabelle1[[#This Row],[Devicetype:]]</f>
        <v>mac_address=98D3D200322Cserial_nb=00012844device_type=rcam_2</v>
      </c>
      <c r="S3" s="9"/>
      <c r="T3" s="9" t="b">
        <f>EXACT(Tabelle1[[#This Row],[Configuration String aus SOME/IP-SD SOLL:]],Tabelle1[[#This Row],[Configuration String aus SOME/IP-SD IST:]])</f>
        <v>0</v>
      </c>
      <c r="U3" s="9" t="str">
        <f>Tabelle1[[#This Row],[snpn:]]&amp;"000"&amp;Tabelle1[[#This Row],[SNr.:]]&amp;LOWER(Tabelle1[[#This Row],[MAC 2:]])</f>
        <v>43245485710001284498d3d200322c</v>
      </c>
      <c r="V3" s="9"/>
      <c r="W3" s="9" t="b">
        <f>EXACT(Tabelle1[[#This Row],[Payload getCamIdentifikation (Wireshark) SOLL:]],Tabelle1[[#This Row],[Payload getCamIdentifikation (Wireshark) IST:]])</f>
        <v>0</v>
      </c>
      <c r="X3" s="9"/>
      <c r="Y3" s="9"/>
      <c r="Z3" s="9"/>
      <c r="AA3" s="9"/>
    </row>
    <row r="4" spans="1:27" x14ac:dyDescent="0.2">
      <c r="A4" s="2">
        <f t="shared" si="0"/>
        <v>3</v>
      </c>
      <c r="B4" s="10" t="s">
        <v>37</v>
      </c>
      <c r="C4" t="s">
        <v>34</v>
      </c>
      <c r="D4" s="2" t="s">
        <v>30</v>
      </c>
      <c r="E4">
        <v>24548571</v>
      </c>
      <c r="F4">
        <v>24548571</v>
      </c>
      <c r="G4" t="s">
        <v>31</v>
      </c>
      <c r="H4" t="s">
        <v>31</v>
      </c>
      <c r="I4">
        <v>4324548571</v>
      </c>
      <c r="J4" t="s">
        <v>42</v>
      </c>
      <c r="K4">
        <v>12845</v>
      </c>
      <c r="L4" t="str">
        <f t="shared" si="1"/>
        <v>98D3D2-00322D</v>
      </c>
      <c r="M4" s="2" t="str">
        <f t="shared" si="2"/>
        <v>98D3D200322D</v>
      </c>
      <c r="N4">
        <v>260515</v>
      </c>
      <c r="O4" s="2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24548571&amp;260515&amp;12845&amp;98D3D2-00322D&amp;B03</v>
      </c>
      <c r="P4" s="2"/>
      <c r="Q4" s="2" t="b">
        <f>EXACT(Tabelle1[[#This Row],[DMC Kamera SOLL:]],Tabelle1[[#This Row],[DMC Kamera IST:]])</f>
        <v>0</v>
      </c>
      <c r="R4" s="2" t="str">
        <f>"mac_address="&amp;Tabelle1[[#This Row],[MAC 2:]]&amp;"serial_nb=000"&amp;Tabelle1[[#This Row],[SNr.:]]&amp;"device_type="&amp;Tabelle1[[#This Row],[Devicetype:]]</f>
        <v>mac_address=98D3D200322Dserial_nb=00012845device_type=rcam_2</v>
      </c>
      <c r="S4" s="2"/>
      <c r="T4" s="2" t="b">
        <f>EXACT(Tabelle1[[#This Row],[Configuration String aus SOME/IP-SD SOLL:]],Tabelle1[[#This Row],[Configuration String aus SOME/IP-SD IST:]])</f>
        <v>0</v>
      </c>
      <c r="U4" s="2" t="str">
        <f>Tabelle1[[#This Row],[snpn:]]&amp;"000"&amp;Tabelle1[[#This Row],[SNr.:]]&amp;LOWER(Tabelle1[[#This Row],[MAC 2:]])</f>
        <v>43245485710001284598d3d200322d</v>
      </c>
      <c r="V4" s="2"/>
      <c r="W4" s="2" t="b">
        <f>EXACT(Tabelle1[[#This Row],[Payload getCamIdentifikation (Wireshark) SOLL:]],Tabelle1[[#This Row],[Payload getCamIdentifikation (Wireshark) IST:]])</f>
        <v>0</v>
      </c>
      <c r="X4" s="4"/>
      <c r="Y4" s="4"/>
      <c r="Z4" s="4"/>
      <c r="AA4" s="7"/>
    </row>
    <row r="5" spans="1:27" x14ac:dyDescent="0.2">
      <c r="A5" s="2">
        <f t="shared" si="0"/>
        <v>4</v>
      </c>
      <c r="B5" s="10" t="s">
        <v>37</v>
      </c>
      <c r="C5" t="s">
        <v>34</v>
      </c>
      <c r="D5" s="2" t="s">
        <v>30</v>
      </c>
      <c r="E5">
        <v>24548571</v>
      </c>
      <c r="F5">
        <v>24548571</v>
      </c>
      <c r="G5" t="s">
        <v>31</v>
      </c>
      <c r="H5" t="s">
        <v>31</v>
      </c>
      <c r="I5">
        <v>4324548571</v>
      </c>
      <c r="J5" t="s">
        <v>42</v>
      </c>
      <c r="K5">
        <v>12846</v>
      </c>
      <c r="L5" t="str">
        <f t="shared" si="1"/>
        <v>98D3D2-00322E</v>
      </c>
      <c r="M5" s="2" t="str">
        <f t="shared" si="2"/>
        <v>98D3D200322E</v>
      </c>
      <c r="N5">
        <v>260515</v>
      </c>
      <c r="O5" s="2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24548571&amp;260515&amp;12846&amp;98D3D2-00322E&amp;B03</v>
      </c>
      <c r="P5" s="2"/>
      <c r="Q5" s="2" t="b">
        <f>EXACT(Tabelle1[[#This Row],[DMC Kamera SOLL:]],Tabelle1[[#This Row],[DMC Kamera IST:]])</f>
        <v>0</v>
      </c>
      <c r="R5" s="2" t="str">
        <f>"mac_address="&amp;Tabelle1[[#This Row],[MAC 2:]]&amp;"serial_nb=000"&amp;Tabelle1[[#This Row],[SNr.:]]&amp;"device_type="&amp;Tabelle1[[#This Row],[Devicetype:]]</f>
        <v>mac_address=98D3D200322Eserial_nb=00012846device_type=rcam_2</v>
      </c>
      <c r="S5" s="2"/>
      <c r="T5" s="2" t="b">
        <f>EXACT(Tabelle1[[#This Row],[Configuration String aus SOME/IP-SD SOLL:]],Tabelle1[[#This Row],[Configuration String aus SOME/IP-SD IST:]])</f>
        <v>0</v>
      </c>
      <c r="U5" s="2" t="str">
        <f>Tabelle1[[#This Row],[snpn:]]&amp;"000"&amp;Tabelle1[[#This Row],[SNr.:]]&amp;LOWER(Tabelle1[[#This Row],[MAC 2:]])</f>
        <v>43245485710001284698d3d200322e</v>
      </c>
      <c r="V5" s="2"/>
      <c r="W5" s="2" t="b">
        <f>EXACT(Tabelle1[[#This Row],[Payload getCamIdentifikation (Wireshark) SOLL:]],Tabelle1[[#This Row],[Payload getCamIdentifikation (Wireshark) IST:]])</f>
        <v>0</v>
      </c>
      <c r="X5" s="4"/>
      <c r="Y5" s="4"/>
      <c r="Z5" s="4"/>
      <c r="AA5" s="7"/>
    </row>
    <row r="6" spans="1:27" x14ac:dyDescent="0.2">
      <c r="A6" s="2">
        <f t="shared" si="0"/>
        <v>5</v>
      </c>
      <c r="B6" s="10" t="s">
        <v>37</v>
      </c>
      <c r="C6" t="s">
        <v>34</v>
      </c>
      <c r="D6" s="2" t="s">
        <v>30</v>
      </c>
      <c r="E6">
        <v>24548571</v>
      </c>
      <c r="F6">
        <v>24548571</v>
      </c>
      <c r="G6" t="s">
        <v>31</v>
      </c>
      <c r="H6" t="s">
        <v>31</v>
      </c>
      <c r="I6">
        <v>4324548571</v>
      </c>
      <c r="J6" t="s">
        <v>42</v>
      </c>
      <c r="K6">
        <v>12847</v>
      </c>
      <c r="L6" t="str">
        <f t="shared" si="1"/>
        <v>98D3D2-00322F</v>
      </c>
      <c r="M6" s="2" t="str">
        <f t="shared" si="2"/>
        <v>98D3D200322F</v>
      </c>
      <c r="N6">
        <v>260515</v>
      </c>
      <c r="O6" s="2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24548571&amp;260515&amp;12847&amp;98D3D2-00322F&amp;B03</v>
      </c>
      <c r="P6" s="2"/>
      <c r="Q6" s="2" t="b">
        <f>EXACT(Tabelle1[[#This Row],[DMC Kamera SOLL:]],Tabelle1[[#This Row],[DMC Kamera IST:]])</f>
        <v>0</v>
      </c>
      <c r="R6" s="2" t="str">
        <f>"mac_address="&amp;Tabelle1[[#This Row],[MAC 2:]]&amp;"serial_nb=000"&amp;Tabelle1[[#This Row],[SNr.:]]&amp;"device_type="&amp;Tabelle1[[#This Row],[Devicetype:]]</f>
        <v>mac_address=98D3D200322Fserial_nb=00012847device_type=rcam_2</v>
      </c>
      <c r="S6" s="2"/>
      <c r="T6" s="2" t="b">
        <f>EXACT(Tabelle1[[#This Row],[Configuration String aus SOME/IP-SD SOLL:]],Tabelle1[[#This Row],[Configuration String aus SOME/IP-SD IST:]])</f>
        <v>0</v>
      </c>
      <c r="U6" s="2" t="str">
        <f>Tabelle1[[#This Row],[snpn:]]&amp;"000"&amp;Tabelle1[[#This Row],[SNr.:]]&amp;LOWER(Tabelle1[[#This Row],[MAC 2:]])</f>
        <v>43245485710001284798d3d200322f</v>
      </c>
      <c r="V6" s="2"/>
      <c r="W6" s="2" t="b">
        <f>EXACT(Tabelle1[[#This Row],[Payload getCamIdentifikation (Wireshark) SOLL:]],Tabelle1[[#This Row],[Payload getCamIdentifikation (Wireshark) IST:]])</f>
        <v>0</v>
      </c>
      <c r="X6" s="4"/>
      <c r="Y6" s="4"/>
      <c r="Z6" s="4"/>
      <c r="AA6" s="7"/>
    </row>
    <row r="7" spans="1:27" x14ac:dyDescent="0.2">
      <c r="A7" s="9">
        <f t="shared" si="0"/>
        <v>6</v>
      </c>
      <c r="B7" s="10" t="s">
        <v>39</v>
      </c>
      <c r="C7" t="s">
        <v>36</v>
      </c>
      <c r="D7" s="2" t="s">
        <v>45</v>
      </c>
      <c r="E7">
        <v>24570238</v>
      </c>
      <c r="F7">
        <v>24569982</v>
      </c>
      <c r="G7" t="s">
        <v>40</v>
      </c>
      <c r="H7" t="s">
        <v>40</v>
      </c>
      <c r="I7">
        <v>4224569982</v>
      </c>
      <c r="J7" t="s">
        <v>43</v>
      </c>
      <c r="K7">
        <v>12958</v>
      </c>
      <c r="L7" t="str">
        <f t="shared" si="1"/>
        <v>98D3D2-00329E</v>
      </c>
      <c r="M7" s="9" t="str">
        <f t="shared" si="2"/>
        <v>98D3D200329E</v>
      </c>
      <c r="N7">
        <v>260515</v>
      </c>
      <c r="O7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24569982&amp;260515&amp;12958&amp;98D3D2-00329E&amp;B02</v>
      </c>
      <c r="P7" s="9"/>
      <c r="Q7" s="9" t="b">
        <f>EXACT(Tabelle1[[#This Row],[DMC Kamera SOLL:]],Tabelle1[[#This Row],[DMC Kamera IST:]])</f>
        <v>0</v>
      </c>
      <c r="R7" s="9" t="str">
        <f>"mac_address="&amp;Tabelle1[[#This Row],[MAC 2:]]&amp;"serial_nb=000"&amp;Tabelle1[[#This Row],[SNr.:]]&amp;"device_type="&amp;Tabelle1[[#This Row],[Devicetype:]]</f>
        <v>mac_address=98D3D200329Eserial_nb=00012958device_type=acam_2s</v>
      </c>
      <c r="S7" s="9"/>
      <c r="T7" s="9" t="b">
        <f>EXACT(Tabelle1[[#This Row],[Configuration String aus SOME/IP-SD SOLL:]],Tabelle1[[#This Row],[Configuration String aus SOME/IP-SD IST:]])</f>
        <v>0</v>
      </c>
      <c r="U7" s="9" t="str">
        <f>Tabelle1[[#This Row],[snpn:]]&amp;"000"&amp;Tabelle1[[#This Row],[SNr.:]]&amp;LOWER(Tabelle1[[#This Row],[MAC 2:]])</f>
        <v>42245699820001295898d3d200329e</v>
      </c>
      <c r="V7" s="9"/>
      <c r="W7" s="9" t="b">
        <f>EXACT(Tabelle1[[#This Row],[Payload getCamIdentifikation (Wireshark) SOLL:]],Tabelle1[[#This Row],[Payload getCamIdentifikation (Wireshark) IST:]])</f>
        <v>0</v>
      </c>
      <c r="X7" s="9"/>
      <c r="Y7" s="9"/>
      <c r="Z7" s="9"/>
      <c r="AA7" s="9"/>
    </row>
    <row r="8" spans="1:27" x14ac:dyDescent="0.2">
      <c r="A8" s="9">
        <f t="shared" si="0"/>
        <v>7</v>
      </c>
      <c r="B8" s="10" t="s">
        <v>39</v>
      </c>
      <c r="C8" t="s">
        <v>36</v>
      </c>
      <c r="D8" s="2" t="s">
        <v>45</v>
      </c>
      <c r="E8">
        <v>24570238</v>
      </c>
      <c r="F8">
        <v>24569982</v>
      </c>
      <c r="G8" t="s">
        <v>40</v>
      </c>
      <c r="H8" t="s">
        <v>40</v>
      </c>
      <c r="I8">
        <v>4224569982</v>
      </c>
      <c r="J8" t="s">
        <v>43</v>
      </c>
      <c r="K8">
        <v>12962</v>
      </c>
      <c r="L8" t="str">
        <f t="shared" si="1"/>
        <v>98D3D2-0032A2</v>
      </c>
      <c r="M8" s="9" t="str">
        <f t="shared" si="2"/>
        <v>98D3D20032A2</v>
      </c>
      <c r="N8">
        <v>260515</v>
      </c>
      <c r="O8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24569982&amp;260515&amp;12962&amp;98D3D2-0032A2&amp;B02</v>
      </c>
      <c r="P8" s="9"/>
      <c r="Q8" s="9" t="b">
        <f>EXACT(Tabelle1[[#This Row],[DMC Kamera SOLL:]],Tabelle1[[#This Row],[DMC Kamera IST:]])</f>
        <v>0</v>
      </c>
      <c r="R8" s="9" t="str">
        <f>"mac_address="&amp;Tabelle1[[#This Row],[MAC 2:]]&amp;"serial_nb=000"&amp;Tabelle1[[#This Row],[SNr.:]]&amp;"device_type="&amp;Tabelle1[[#This Row],[Devicetype:]]</f>
        <v>mac_address=98D3D20032A2serial_nb=00012962device_type=acam_2s</v>
      </c>
      <c r="S8" s="9"/>
      <c r="T8" s="9" t="b">
        <f>EXACT(Tabelle1[[#This Row],[Configuration String aus SOME/IP-SD SOLL:]],Tabelle1[[#This Row],[Configuration String aus SOME/IP-SD IST:]])</f>
        <v>0</v>
      </c>
      <c r="U8" s="9" t="str">
        <f>Tabelle1[[#This Row],[snpn:]]&amp;"000"&amp;Tabelle1[[#This Row],[SNr.:]]&amp;LOWER(Tabelle1[[#This Row],[MAC 2:]])</f>
        <v>42245699820001296298d3d20032a2</v>
      </c>
      <c r="V8" s="9"/>
      <c r="W8" s="9" t="b">
        <f>EXACT(Tabelle1[[#This Row],[Payload getCamIdentifikation (Wireshark) SOLL:]],Tabelle1[[#This Row],[Payload getCamIdentifikation (Wireshark) IST:]])</f>
        <v>0</v>
      </c>
      <c r="X8" s="9"/>
      <c r="Y8" s="9"/>
      <c r="Z8" s="9"/>
      <c r="AA8" s="9"/>
    </row>
    <row r="9" spans="1:27" x14ac:dyDescent="0.2">
      <c r="A9" s="9">
        <f t="shared" si="0"/>
        <v>8</v>
      </c>
      <c r="B9" s="10" t="s">
        <v>39</v>
      </c>
      <c r="C9" t="s">
        <v>36</v>
      </c>
      <c r="D9" s="2" t="s">
        <v>45</v>
      </c>
      <c r="E9">
        <v>24570238</v>
      </c>
      <c r="F9">
        <v>24569982</v>
      </c>
      <c r="G9" t="s">
        <v>40</v>
      </c>
      <c r="H9" t="s">
        <v>40</v>
      </c>
      <c r="I9">
        <v>4224569982</v>
      </c>
      <c r="J9" t="s">
        <v>43</v>
      </c>
      <c r="K9">
        <v>12963</v>
      </c>
      <c r="L9" t="str">
        <f t="shared" si="1"/>
        <v>98D3D2-0032A3</v>
      </c>
      <c r="M9" s="9" t="str">
        <f t="shared" si="2"/>
        <v>98D3D20032A3</v>
      </c>
      <c r="N9">
        <v>260515</v>
      </c>
      <c r="O9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24569982&amp;260515&amp;12963&amp;98D3D2-0032A3&amp;B02</v>
      </c>
      <c r="P9" s="9"/>
      <c r="Q9" s="9" t="b">
        <f>EXACT(Tabelle1[[#This Row],[DMC Kamera SOLL:]],Tabelle1[[#This Row],[DMC Kamera IST:]])</f>
        <v>0</v>
      </c>
      <c r="R9" s="9" t="str">
        <f>"mac_address="&amp;Tabelle1[[#This Row],[MAC 2:]]&amp;"serial_nb=000"&amp;Tabelle1[[#This Row],[SNr.:]]&amp;"device_type="&amp;Tabelle1[[#This Row],[Devicetype:]]</f>
        <v>mac_address=98D3D20032A3serial_nb=00012963device_type=acam_2s</v>
      </c>
      <c r="S9" s="9"/>
      <c r="T9" s="9" t="b">
        <f>EXACT(Tabelle1[[#This Row],[Configuration String aus SOME/IP-SD SOLL:]],Tabelle1[[#This Row],[Configuration String aus SOME/IP-SD IST:]])</f>
        <v>0</v>
      </c>
      <c r="U9" s="9" t="str">
        <f>Tabelle1[[#This Row],[snpn:]]&amp;"000"&amp;Tabelle1[[#This Row],[SNr.:]]&amp;LOWER(Tabelle1[[#This Row],[MAC 2:]])</f>
        <v>42245699820001296398d3d20032a3</v>
      </c>
      <c r="V9" s="9"/>
      <c r="W9" s="9" t="b">
        <f>EXACT(Tabelle1[[#This Row],[Payload getCamIdentifikation (Wireshark) SOLL:]],Tabelle1[[#This Row],[Payload getCamIdentifikation (Wireshark) IST:]])</f>
        <v>0</v>
      </c>
      <c r="X9" s="9"/>
      <c r="Y9" s="9"/>
      <c r="Z9" s="9"/>
      <c r="AA9" s="9"/>
    </row>
    <row r="10" spans="1:27" x14ac:dyDescent="0.2">
      <c r="A10" s="9">
        <f t="shared" si="0"/>
        <v>9</v>
      </c>
      <c r="B10" s="10" t="s">
        <v>39</v>
      </c>
      <c r="C10" t="s">
        <v>36</v>
      </c>
      <c r="D10" s="2" t="s">
        <v>45</v>
      </c>
      <c r="E10">
        <v>24570238</v>
      </c>
      <c r="F10">
        <v>24569982</v>
      </c>
      <c r="G10" t="s">
        <v>40</v>
      </c>
      <c r="H10" t="s">
        <v>40</v>
      </c>
      <c r="I10">
        <v>4224569982</v>
      </c>
      <c r="J10" t="s">
        <v>43</v>
      </c>
      <c r="K10">
        <v>12964</v>
      </c>
      <c r="L10" t="str">
        <f t="shared" si="1"/>
        <v>98D3D2-0032A4</v>
      </c>
      <c r="M10" s="9" t="str">
        <f t="shared" si="2"/>
        <v>98D3D20032A4</v>
      </c>
      <c r="N10">
        <v>260515</v>
      </c>
      <c r="O10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24569982&amp;260515&amp;12964&amp;98D3D2-0032A4&amp;B02</v>
      </c>
      <c r="P10" s="9"/>
      <c r="Q10" s="9" t="b">
        <f>EXACT(Tabelle1[[#This Row],[DMC Kamera SOLL:]],Tabelle1[[#This Row],[DMC Kamera IST:]])</f>
        <v>0</v>
      </c>
      <c r="R10" s="9" t="str">
        <f>"mac_address="&amp;Tabelle1[[#This Row],[MAC 2:]]&amp;"serial_nb=000"&amp;Tabelle1[[#This Row],[SNr.:]]&amp;"device_type="&amp;Tabelle1[[#This Row],[Devicetype:]]</f>
        <v>mac_address=98D3D20032A4serial_nb=00012964device_type=acam_2s</v>
      </c>
      <c r="S10" s="9"/>
      <c r="T10" s="9" t="b">
        <f>EXACT(Tabelle1[[#This Row],[Configuration String aus SOME/IP-SD SOLL:]],Tabelle1[[#This Row],[Configuration String aus SOME/IP-SD IST:]])</f>
        <v>0</v>
      </c>
      <c r="U10" s="9" t="str">
        <f>Tabelle1[[#This Row],[snpn:]]&amp;"000"&amp;Tabelle1[[#This Row],[SNr.:]]&amp;LOWER(Tabelle1[[#This Row],[MAC 2:]])</f>
        <v>42245699820001296498d3d20032a4</v>
      </c>
      <c r="V10" s="9"/>
      <c r="W10" s="9" t="b">
        <f>EXACT(Tabelle1[[#This Row],[Payload getCamIdentifikation (Wireshark) SOLL:]],Tabelle1[[#This Row],[Payload getCamIdentifikation (Wireshark) IST:]])</f>
        <v>0</v>
      </c>
      <c r="X10" s="9"/>
      <c r="Y10" s="9"/>
      <c r="Z10" s="9"/>
      <c r="AA10" s="9"/>
    </row>
    <row r="11" spans="1:27" x14ac:dyDescent="0.2">
      <c r="A11" s="9">
        <f t="shared" si="0"/>
        <v>10</v>
      </c>
      <c r="B11" s="10" t="s">
        <v>37</v>
      </c>
      <c r="C11" t="s">
        <v>34</v>
      </c>
      <c r="D11" s="2" t="s">
        <v>30</v>
      </c>
      <c r="E11">
        <v>24548571</v>
      </c>
      <c r="F11">
        <v>24548571</v>
      </c>
      <c r="G11" t="s">
        <v>31</v>
      </c>
      <c r="H11" t="s">
        <v>31</v>
      </c>
      <c r="I11">
        <v>4324548571</v>
      </c>
      <c r="J11" t="s">
        <v>42</v>
      </c>
      <c r="K11">
        <v>12966</v>
      </c>
      <c r="L11" t="str">
        <f t="shared" si="1"/>
        <v>98D3D2-0032A6</v>
      </c>
      <c r="M11" s="9" t="str">
        <f t="shared" si="2"/>
        <v>98D3D20032A6</v>
      </c>
      <c r="N11">
        <v>260515</v>
      </c>
      <c r="O11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24548571&amp;260515&amp;12966&amp;98D3D2-0032A6&amp;B03</v>
      </c>
      <c r="P11" s="9"/>
      <c r="Q11" s="9" t="b">
        <f>EXACT(Tabelle1[[#This Row],[DMC Kamera SOLL:]],Tabelle1[[#This Row],[DMC Kamera IST:]])</f>
        <v>0</v>
      </c>
      <c r="R11" s="9" t="str">
        <f>"mac_address="&amp;Tabelle1[[#This Row],[MAC 2:]]&amp;"serial_nb=000"&amp;Tabelle1[[#This Row],[SNr.:]]&amp;"device_type="&amp;Tabelle1[[#This Row],[Devicetype:]]</f>
        <v>mac_address=98D3D20032A6serial_nb=00012966device_type=rcam_2</v>
      </c>
      <c r="S11" s="9"/>
      <c r="T11" s="9" t="b">
        <f>EXACT(Tabelle1[[#This Row],[Configuration String aus SOME/IP-SD SOLL:]],Tabelle1[[#This Row],[Configuration String aus SOME/IP-SD IST:]])</f>
        <v>0</v>
      </c>
      <c r="U11" s="9" t="str">
        <f>Tabelle1[[#This Row],[snpn:]]&amp;"000"&amp;Tabelle1[[#This Row],[SNr.:]]&amp;LOWER(Tabelle1[[#This Row],[MAC 2:]])</f>
        <v>43245485710001296698d3d20032a6</v>
      </c>
      <c r="V11" s="9"/>
      <c r="W11" s="9" t="b">
        <f>EXACT(Tabelle1[[#This Row],[Payload getCamIdentifikation (Wireshark) SOLL:]],Tabelle1[[#This Row],[Payload getCamIdentifikation (Wireshark) IST:]])</f>
        <v>0</v>
      </c>
      <c r="X11" s="9"/>
      <c r="Y11" s="9"/>
      <c r="Z11" s="9"/>
      <c r="AA11" s="9"/>
    </row>
    <row r="12" spans="1:27" x14ac:dyDescent="0.2">
      <c r="A12" s="2">
        <f t="shared" si="0"/>
        <v>11</v>
      </c>
      <c r="B12" s="10" t="s">
        <v>37</v>
      </c>
      <c r="C12" t="s">
        <v>34</v>
      </c>
      <c r="D12" s="2" t="s">
        <v>30</v>
      </c>
      <c r="E12">
        <v>24548571</v>
      </c>
      <c r="F12">
        <v>24548571</v>
      </c>
      <c r="G12" t="s">
        <v>31</v>
      </c>
      <c r="H12" t="s">
        <v>31</v>
      </c>
      <c r="I12">
        <v>4324548571</v>
      </c>
      <c r="J12" t="s">
        <v>42</v>
      </c>
      <c r="K12">
        <v>12967</v>
      </c>
      <c r="L12" t="str">
        <f t="shared" si="1"/>
        <v>98D3D2-0032A7</v>
      </c>
      <c r="M12" s="2" t="str">
        <f t="shared" si="2"/>
        <v>98D3D20032A7</v>
      </c>
      <c r="N12">
        <v>260515</v>
      </c>
      <c r="O12" s="2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24548571&amp;260515&amp;12967&amp;98D3D2-0032A7&amp;B03</v>
      </c>
      <c r="P12" s="2"/>
      <c r="Q12" s="2" t="b">
        <f>EXACT(Tabelle1[[#This Row],[DMC Kamera SOLL:]],Tabelle1[[#This Row],[DMC Kamera IST:]])</f>
        <v>0</v>
      </c>
      <c r="R12" s="2" t="str">
        <f>"mac_address="&amp;Tabelle1[[#This Row],[MAC 2:]]&amp;"serial_nb=000"&amp;Tabelle1[[#This Row],[SNr.:]]&amp;"device_type="&amp;Tabelle1[[#This Row],[Devicetype:]]</f>
        <v>mac_address=98D3D20032A7serial_nb=00012967device_type=rcam_2</v>
      </c>
      <c r="S12" s="2"/>
      <c r="T12" s="2" t="b">
        <f>EXACT(Tabelle1[[#This Row],[Configuration String aus SOME/IP-SD SOLL:]],Tabelle1[[#This Row],[Configuration String aus SOME/IP-SD IST:]])</f>
        <v>0</v>
      </c>
      <c r="U12" s="2" t="str">
        <f>Tabelle1[[#This Row],[snpn:]]&amp;"000"&amp;Tabelle1[[#This Row],[SNr.:]]&amp;LOWER(Tabelle1[[#This Row],[MAC 2:]])</f>
        <v>43245485710001296798d3d20032a7</v>
      </c>
      <c r="V12" s="2"/>
      <c r="W12" s="2" t="b">
        <f>EXACT(Tabelle1[[#This Row],[Payload getCamIdentifikation (Wireshark) SOLL:]],Tabelle1[[#This Row],[Payload getCamIdentifikation (Wireshark) IST:]])</f>
        <v>0</v>
      </c>
      <c r="X12" s="4"/>
      <c r="Y12" s="4"/>
      <c r="Z12" s="4"/>
      <c r="AA12" s="7"/>
    </row>
    <row r="13" spans="1:27" x14ac:dyDescent="0.2">
      <c r="A13" s="9">
        <f t="shared" si="0"/>
        <v>12</v>
      </c>
      <c r="B13" s="10" t="s">
        <v>37</v>
      </c>
      <c r="C13" t="s">
        <v>34</v>
      </c>
      <c r="D13" s="2" t="s">
        <v>30</v>
      </c>
      <c r="E13">
        <v>24548571</v>
      </c>
      <c r="F13">
        <v>24548571</v>
      </c>
      <c r="G13" t="s">
        <v>31</v>
      </c>
      <c r="H13" t="s">
        <v>31</v>
      </c>
      <c r="I13">
        <v>4324548571</v>
      </c>
      <c r="J13" t="s">
        <v>42</v>
      </c>
      <c r="K13">
        <v>12971</v>
      </c>
      <c r="L13" t="str">
        <f t="shared" si="1"/>
        <v>98D3D2-0032AB</v>
      </c>
      <c r="M13" s="9" t="str">
        <f t="shared" si="2"/>
        <v>98D3D20032AB</v>
      </c>
      <c r="N13">
        <v>260515</v>
      </c>
      <c r="O13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24548571&amp;260515&amp;12971&amp;98D3D2-0032AB&amp;B03</v>
      </c>
      <c r="P13" s="9"/>
      <c r="Q13" s="9" t="b">
        <f>EXACT(Tabelle1[[#This Row],[DMC Kamera SOLL:]],Tabelle1[[#This Row],[DMC Kamera IST:]])</f>
        <v>0</v>
      </c>
      <c r="R13" s="9" t="str">
        <f>"mac_address="&amp;Tabelle1[[#This Row],[MAC 2:]]&amp;"serial_nb=000"&amp;Tabelle1[[#This Row],[SNr.:]]&amp;"device_type="&amp;Tabelle1[[#This Row],[Devicetype:]]</f>
        <v>mac_address=98D3D20032ABserial_nb=00012971device_type=rcam_2</v>
      </c>
      <c r="S13" s="9"/>
      <c r="T13" s="9" t="b">
        <f>EXACT(Tabelle1[[#This Row],[Configuration String aus SOME/IP-SD SOLL:]],Tabelle1[[#This Row],[Configuration String aus SOME/IP-SD IST:]])</f>
        <v>0</v>
      </c>
      <c r="U13" s="9" t="str">
        <f>Tabelle1[[#This Row],[snpn:]]&amp;"000"&amp;Tabelle1[[#This Row],[SNr.:]]&amp;LOWER(Tabelle1[[#This Row],[MAC 2:]])</f>
        <v>43245485710001297198d3d20032ab</v>
      </c>
      <c r="V13" s="9"/>
      <c r="W13" s="9" t="b">
        <f>EXACT(Tabelle1[[#This Row],[Payload getCamIdentifikation (Wireshark) SOLL:]],Tabelle1[[#This Row],[Payload getCamIdentifikation (Wireshark) IST:]])</f>
        <v>0</v>
      </c>
      <c r="X13" s="9"/>
      <c r="Y13" s="9"/>
      <c r="Z13" s="9"/>
      <c r="AA13" s="9"/>
    </row>
    <row r="14" spans="1:27" x14ac:dyDescent="0.2">
      <c r="A14" s="9">
        <f t="shared" si="0"/>
        <v>13</v>
      </c>
      <c r="B14" s="10" t="s">
        <v>37</v>
      </c>
      <c r="C14" t="s">
        <v>34</v>
      </c>
      <c r="D14" s="2" t="s">
        <v>30</v>
      </c>
      <c r="E14">
        <v>24548571</v>
      </c>
      <c r="F14">
        <v>24548571</v>
      </c>
      <c r="G14" t="s">
        <v>31</v>
      </c>
      <c r="H14" t="s">
        <v>31</v>
      </c>
      <c r="I14">
        <v>4324548571</v>
      </c>
      <c r="J14" t="s">
        <v>42</v>
      </c>
      <c r="K14">
        <v>12972</v>
      </c>
      <c r="L14" t="str">
        <f t="shared" si="1"/>
        <v>98D3D2-0032AC</v>
      </c>
      <c r="M14" s="9" t="str">
        <f t="shared" si="2"/>
        <v>98D3D20032AC</v>
      </c>
      <c r="N14">
        <v>260515</v>
      </c>
      <c r="O14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24548571&amp;260515&amp;12972&amp;98D3D2-0032AC&amp;B03</v>
      </c>
      <c r="P14" s="9"/>
      <c r="Q14" s="9" t="b">
        <f>EXACT(Tabelle1[[#This Row],[DMC Kamera SOLL:]],Tabelle1[[#This Row],[DMC Kamera IST:]])</f>
        <v>0</v>
      </c>
      <c r="R14" s="9" t="str">
        <f>"mac_address="&amp;Tabelle1[[#This Row],[MAC 2:]]&amp;"serial_nb=000"&amp;Tabelle1[[#This Row],[SNr.:]]&amp;"device_type="&amp;Tabelle1[[#This Row],[Devicetype:]]</f>
        <v>mac_address=98D3D20032ACserial_nb=00012972device_type=rcam_2</v>
      </c>
      <c r="S14" s="9"/>
      <c r="T14" s="9" t="b">
        <f>EXACT(Tabelle1[[#This Row],[Configuration String aus SOME/IP-SD SOLL:]],Tabelle1[[#This Row],[Configuration String aus SOME/IP-SD IST:]])</f>
        <v>0</v>
      </c>
      <c r="U14" s="9" t="str">
        <f>Tabelle1[[#This Row],[snpn:]]&amp;"000"&amp;Tabelle1[[#This Row],[SNr.:]]&amp;LOWER(Tabelle1[[#This Row],[MAC 2:]])</f>
        <v>43245485710001297298d3d20032ac</v>
      </c>
      <c r="V14" s="9"/>
      <c r="W14" s="9" t="b">
        <f>EXACT(Tabelle1[[#This Row],[Payload getCamIdentifikation (Wireshark) SOLL:]],Tabelle1[[#This Row],[Payload getCamIdentifikation (Wireshark) IST:]])</f>
        <v>0</v>
      </c>
      <c r="X14" s="9"/>
      <c r="Y14" s="9"/>
      <c r="Z14" s="9"/>
      <c r="AA14" s="9"/>
    </row>
    <row r="15" spans="1:27" x14ac:dyDescent="0.2">
      <c r="A15" s="9">
        <f t="shared" si="0"/>
        <v>14</v>
      </c>
      <c r="B15" s="10" t="s">
        <v>37</v>
      </c>
      <c r="C15" t="s">
        <v>34</v>
      </c>
      <c r="D15" s="2" t="s">
        <v>30</v>
      </c>
      <c r="E15">
        <v>24548571</v>
      </c>
      <c r="F15">
        <v>24548571</v>
      </c>
      <c r="G15" t="s">
        <v>31</v>
      </c>
      <c r="H15" t="s">
        <v>31</v>
      </c>
      <c r="I15">
        <v>4324548571</v>
      </c>
      <c r="J15" t="s">
        <v>42</v>
      </c>
      <c r="K15">
        <v>12973</v>
      </c>
      <c r="L15" t="str">
        <f t="shared" si="1"/>
        <v>98D3D2-0032AD</v>
      </c>
      <c r="M15" s="9" t="str">
        <f t="shared" si="2"/>
        <v>98D3D20032AD</v>
      </c>
      <c r="N15">
        <v>260515</v>
      </c>
      <c r="O15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24548571&amp;260515&amp;12973&amp;98D3D2-0032AD&amp;B03</v>
      </c>
      <c r="P15" s="9"/>
      <c r="Q15" s="9" t="b">
        <f>EXACT(Tabelle1[[#This Row],[DMC Kamera SOLL:]],Tabelle1[[#This Row],[DMC Kamera IST:]])</f>
        <v>0</v>
      </c>
      <c r="R15" s="9" t="str">
        <f>"mac_address="&amp;Tabelle1[[#This Row],[MAC 2:]]&amp;"serial_nb=000"&amp;Tabelle1[[#This Row],[SNr.:]]&amp;"device_type="&amp;Tabelle1[[#This Row],[Devicetype:]]</f>
        <v>mac_address=98D3D20032ADserial_nb=00012973device_type=rcam_2</v>
      </c>
      <c r="S15" s="9"/>
      <c r="T15" s="9" t="b">
        <f>EXACT(Tabelle1[[#This Row],[Configuration String aus SOME/IP-SD SOLL:]],Tabelle1[[#This Row],[Configuration String aus SOME/IP-SD IST:]])</f>
        <v>0</v>
      </c>
      <c r="U15" s="9" t="str">
        <f>Tabelle1[[#This Row],[snpn:]]&amp;"000"&amp;Tabelle1[[#This Row],[SNr.:]]&amp;LOWER(Tabelle1[[#This Row],[MAC 2:]])</f>
        <v>43245485710001297398d3d20032ad</v>
      </c>
      <c r="V15" s="9"/>
      <c r="W15" s="9" t="b">
        <f>EXACT(Tabelle1[[#This Row],[Payload getCamIdentifikation (Wireshark) SOLL:]],Tabelle1[[#This Row],[Payload getCamIdentifikation (Wireshark) IST:]])</f>
        <v>0</v>
      </c>
      <c r="X15" s="9"/>
      <c r="Y15" s="9"/>
      <c r="Z15" s="9"/>
      <c r="AA15" s="9"/>
    </row>
    <row r="16" spans="1:27" x14ac:dyDescent="0.2">
      <c r="A16" s="9">
        <f t="shared" si="0"/>
        <v>15</v>
      </c>
      <c r="B16" s="10" t="s">
        <v>46</v>
      </c>
      <c r="C16" t="s">
        <v>47</v>
      </c>
      <c r="D16" s="2" t="s">
        <v>45</v>
      </c>
      <c r="E16">
        <v>24569982</v>
      </c>
      <c r="F16">
        <v>24569982</v>
      </c>
      <c r="G16" t="s">
        <v>40</v>
      </c>
      <c r="H16" t="s">
        <v>40</v>
      </c>
      <c r="I16">
        <v>4224569982</v>
      </c>
      <c r="J16" t="s">
        <v>43</v>
      </c>
      <c r="K16">
        <v>12974</v>
      </c>
      <c r="L16" t="str">
        <f t="shared" si="1"/>
        <v>98D3D2-0032AE</v>
      </c>
      <c r="M16" s="9" t="str">
        <f t="shared" si="2"/>
        <v>98D3D20032AE</v>
      </c>
      <c r="N16">
        <v>260515</v>
      </c>
      <c r="O16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24569982&amp;260515&amp;12974&amp;98D3D2-0032AE&amp;B02</v>
      </c>
      <c r="P16" s="9"/>
      <c r="Q16" s="9" t="b">
        <f>EXACT(Tabelle1[[#This Row],[DMC Kamera SOLL:]],Tabelle1[[#This Row],[DMC Kamera IST:]])</f>
        <v>0</v>
      </c>
      <c r="R16" s="9" t="str">
        <f>"mac_address="&amp;Tabelle1[[#This Row],[MAC 2:]]&amp;"serial_nb=000"&amp;Tabelle1[[#This Row],[SNr.:]]&amp;"device_type="&amp;Tabelle1[[#This Row],[Devicetype:]]</f>
        <v>mac_address=98D3D20032AEserial_nb=00012974device_type=acam_2s</v>
      </c>
      <c r="S16" s="9"/>
      <c r="T16" s="9" t="b">
        <f>EXACT(Tabelle1[[#This Row],[Configuration String aus SOME/IP-SD SOLL:]],Tabelle1[[#This Row],[Configuration String aus SOME/IP-SD IST:]])</f>
        <v>0</v>
      </c>
      <c r="U16" s="9" t="str">
        <f>Tabelle1[[#This Row],[snpn:]]&amp;"000"&amp;Tabelle1[[#This Row],[SNr.:]]&amp;LOWER(Tabelle1[[#This Row],[MAC 2:]])</f>
        <v>42245699820001297498d3d20032ae</v>
      </c>
      <c r="V16" s="9"/>
      <c r="W16" s="9" t="b">
        <f>EXACT(Tabelle1[[#This Row],[Payload getCamIdentifikation (Wireshark) SOLL:]],Tabelle1[[#This Row],[Payload getCamIdentifikation (Wireshark) IST:]])</f>
        <v>0</v>
      </c>
      <c r="X16" s="9"/>
      <c r="Y16" s="9"/>
      <c r="Z16" s="9"/>
      <c r="AA16" s="9"/>
    </row>
    <row r="17" spans="1:27" x14ac:dyDescent="0.2">
      <c r="A17" s="9">
        <f t="shared" si="0"/>
        <v>16</v>
      </c>
      <c r="B17" s="10" t="s">
        <v>46</v>
      </c>
      <c r="C17" t="s">
        <v>47</v>
      </c>
      <c r="D17" s="2" t="s">
        <v>45</v>
      </c>
      <c r="E17">
        <v>24569982</v>
      </c>
      <c r="F17">
        <v>24569982</v>
      </c>
      <c r="G17" t="s">
        <v>40</v>
      </c>
      <c r="H17" t="s">
        <v>40</v>
      </c>
      <c r="I17">
        <v>4224569982</v>
      </c>
      <c r="J17" t="s">
        <v>43</v>
      </c>
      <c r="K17">
        <v>12975</v>
      </c>
      <c r="L17" t="str">
        <f t="shared" si="1"/>
        <v>98D3D2-0032AF</v>
      </c>
      <c r="M17" s="9" t="str">
        <f t="shared" si="2"/>
        <v>98D3D20032AF</v>
      </c>
      <c r="N17">
        <v>260515</v>
      </c>
      <c r="O17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24569982&amp;260515&amp;12975&amp;98D3D2-0032AF&amp;B02</v>
      </c>
      <c r="P17" s="9"/>
      <c r="Q17" s="9" t="b">
        <f>EXACT(Tabelle1[[#This Row],[DMC Kamera SOLL:]],Tabelle1[[#This Row],[DMC Kamera IST:]])</f>
        <v>0</v>
      </c>
      <c r="R17" s="9" t="str">
        <f>"mac_address="&amp;Tabelle1[[#This Row],[MAC 2:]]&amp;"serial_nb=000"&amp;Tabelle1[[#This Row],[SNr.:]]&amp;"device_type="&amp;Tabelle1[[#This Row],[Devicetype:]]</f>
        <v>mac_address=98D3D20032AFserial_nb=00012975device_type=acam_2s</v>
      </c>
      <c r="S17" s="9"/>
      <c r="T17" s="9" t="b">
        <f>EXACT(Tabelle1[[#This Row],[Configuration String aus SOME/IP-SD SOLL:]],Tabelle1[[#This Row],[Configuration String aus SOME/IP-SD IST:]])</f>
        <v>0</v>
      </c>
      <c r="U17" s="9" t="str">
        <f>Tabelle1[[#This Row],[snpn:]]&amp;"000"&amp;Tabelle1[[#This Row],[SNr.:]]&amp;LOWER(Tabelle1[[#This Row],[MAC 2:]])</f>
        <v>42245699820001297598d3d20032af</v>
      </c>
      <c r="V17" s="9"/>
      <c r="W17" s="9" t="b">
        <f>EXACT(Tabelle1[[#This Row],[Payload getCamIdentifikation (Wireshark) SOLL:]],Tabelle1[[#This Row],[Payload getCamIdentifikation (Wireshark) IST:]])</f>
        <v>0</v>
      </c>
      <c r="X17" s="9"/>
      <c r="Y17" s="9"/>
      <c r="Z17" s="9"/>
      <c r="AA17" s="9"/>
    </row>
    <row r="18" spans="1:27" x14ac:dyDescent="0.2">
      <c r="A18" s="9">
        <f t="shared" si="0"/>
        <v>17</v>
      </c>
      <c r="B18" s="10" t="s">
        <v>46</v>
      </c>
      <c r="C18" t="s">
        <v>47</v>
      </c>
      <c r="D18" s="2" t="s">
        <v>45</v>
      </c>
      <c r="E18">
        <v>24569982</v>
      </c>
      <c r="F18">
        <v>24569982</v>
      </c>
      <c r="G18" t="s">
        <v>40</v>
      </c>
      <c r="H18" t="s">
        <v>40</v>
      </c>
      <c r="I18">
        <v>4224569982</v>
      </c>
      <c r="J18" t="s">
        <v>43</v>
      </c>
      <c r="K18">
        <v>12978</v>
      </c>
      <c r="L18" t="str">
        <f t="shared" si="1"/>
        <v>98D3D2-0032B2</v>
      </c>
      <c r="M18" s="9" t="str">
        <f t="shared" si="2"/>
        <v>98D3D20032B2</v>
      </c>
      <c r="N18">
        <v>260515</v>
      </c>
      <c r="O18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24569982&amp;260515&amp;12978&amp;98D3D2-0032B2&amp;B02</v>
      </c>
      <c r="P18" s="9"/>
      <c r="Q18" s="9" t="b">
        <f>EXACT(Tabelle1[[#This Row],[DMC Kamera SOLL:]],Tabelle1[[#This Row],[DMC Kamera IST:]])</f>
        <v>0</v>
      </c>
      <c r="R18" s="9" t="str">
        <f>"mac_address="&amp;Tabelle1[[#This Row],[MAC 2:]]&amp;"serial_nb=000"&amp;Tabelle1[[#This Row],[SNr.:]]&amp;"device_type="&amp;Tabelle1[[#This Row],[Devicetype:]]</f>
        <v>mac_address=98D3D20032B2serial_nb=00012978device_type=acam_2s</v>
      </c>
      <c r="S18" s="9"/>
      <c r="T18" s="9" t="b">
        <f>EXACT(Tabelle1[[#This Row],[Configuration String aus SOME/IP-SD SOLL:]],Tabelle1[[#This Row],[Configuration String aus SOME/IP-SD IST:]])</f>
        <v>0</v>
      </c>
      <c r="U18" s="9" t="str">
        <f>Tabelle1[[#This Row],[snpn:]]&amp;"000"&amp;Tabelle1[[#This Row],[SNr.:]]&amp;LOWER(Tabelle1[[#This Row],[MAC 2:]])</f>
        <v>42245699820001297898d3d20032b2</v>
      </c>
      <c r="V18" s="9"/>
      <c r="W18" s="9" t="b">
        <f>EXACT(Tabelle1[[#This Row],[Payload getCamIdentifikation (Wireshark) SOLL:]],Tabelle1[[#This Row],[Payload getCamIdentifikation (Wireshark) IST:]])</f>
        <v>0</v>
      </c>
      <c r="X18" s="9"/>
      <c r="Y18" s="9"/>
      <c r="Z18" s="9"/>
      <c r="AA18" s="9"/>
    </row>
    <row r="19" spans="1:27" x14ac:dyDescent="0.2">
      <c r="A19" s="9">
        <f t="shared" si="0"/>
        <v>18</v>
      </c>
      <c r="B19" s="10" t="s">
        <v>46</v>
      </c>
      <c r="C19" t="s">
        <v>47</v>
      </c>
      <c r="D19" s="2" t="s">
        <v>45</v>
      </c>
      <c r="E19">
        <v>24569982</v>
      </c>
      <c r="F19">
        <v>24569982</v>
      </c>
      <c r="G19" t="s">
        <v>40</v>
      </c>
      <c r="H19" t="s">
        <v>40</v>
      </c>
      <c r="I19">
        <v>4224569982</v>
      </c>
      <c r="J19" t="s">
        <v>43</v>
      </c>
      <c r="K19">
        <v>12979</v>
      </c>
      <c r="L19" t="str">
        <f t="shared" si="1"/>
        <v>98D3D2-0032B3</v>
      </c>
      <c r="M19" s="9" t="str">
        <f t="shared" si="2"/>
        <v>98D3D20032B3</v>
      </c>
      <c r="N19">
        <v>260515</v>
      </c>
      <c r="O19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24569982&amp;260515&amp;12979&amp;98D3D2-0032B3&amp;B02</v>
      </c>
      <c r="P19" s="9"/>
      <c r="Q19" s="9" t="b">
        <f>EXACT(Tabelle1[[#This Row],[DMC Kamera SOLL:]],Tabelle1[[#This Row],[DMC Kamera IST:]])</f>
        <v>0</v>
      </c>
      <c r="R19" s="9" t="str">
        <f>"mac_address="&amp;Tabelle1[[#This Row],[MAC 2:]]&amp;"serial_nb=000"&amp;Tabelle1[[#This Row],[SNr.:]]&amp;"device_type="&amp;Tabelle1[[#This Row],[Devicetype:]]</f>
        <v>mac_address=98D3D20032B3serial_nb=00012979device_type=acam_2s</v>
      </c>
      <c r="S19" s="9"/>
      <c r="T19" s="9" t="b">
        <f>EXACT(Tabelle1[[#This Row],[Configuration String aus SOME/IP-SD SOLL:]],Tabelle1[[#This Row],[Configuration String aus SOME/IP-SD IST:]])</f>
        <v>0</v>
      </c>
      <c r="U19" s="9" t="str">
        <f>Tabelle1[[#This Row],[snpn:]]&amp;"000"&amp;Tabelle1[[#This Row],[SNr.:]]&amp;LOWER(Tabelle1[[#This Row],[MAC 2:]])</f>
        <v>42245699820001297998d3d20032b3</v>
      </c>
      <c r="V19" s="9"/>
      <c r="W19" s="9" t="b">
        <f>EXACT(Tabelle1[[#This Row],[Payload getCamIdentifikation (Wireshark) SOLL:]],Tabelle1[[#This Row],[Payload getCamIdentifikation (Wireshark) IST:]])</f>
        <v>0</v>
      </c>
      <c r="X19" s="9"/>
      <c r="Y19" s="9"/>
      <c r="Z19" s="9"/>
      <c r="AA19" s="9"/>
    </row>
    <row r="20" spans="1:27" x14ac:dyDescent="0.2">
      <c r="A20" s="9">
        <f t="shared" si="0"/>
        <v>19</v>
      </c>
      <c r="B20" s="10" t="s">
        <v>46</v>
      </c>
      <c r="C20" t="s">
        <v>47</v>
      </c>
      <c r="D20" s="2" t="s">
        <v>45</v>
      </c>
      <c r="E20">
        <v>24569982</v>
      </c>
      <c r="F20">
        <v>24569982</v>
      </c>
      <c r="G20" t="s">
        <v>40</v>
      </c>
      <c r="H20" t="s">
        <v>40</v>
      </c>
      <c r="I20">
        <v>4224569982</v>
      </c>
      <c r="J20" t="s">
        <v>43</v>
      </c>
      <c r="K20">
        <v>12980</v>
      </c>
      <c r="L20" t="str">
        <f t="shared" si="1"/>
        <v>98D3D2-0032B4</v>
      </c>
      <c r="M20" s="9" t="str">
        <f t="shared" si="2"/>
        <v>98D3D20032B4</v>
      </c>
      <c r="N20">
        <v>260515</v>
      </c>
      <c r="O20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24569982&amp;260515&amp;12980&amp;98D3D2-0032B4&amp;B02</v>
      </c>
      <c r="P20" s="9"/>
      <c r="Q20" s="9" t="b">
        <f>EXACT(Tabelle1[[#This Row],[DMC Kamera SOLL:]],Tabelle1[[#This Row],[DMC Kamera IST:]])</f>
        <v>0</v>
      </c>
      <c r="R20" s="9" t="str">
        <f>"mac_address="&amp;Tabelle1[[#This Row],[MAC 2:]]&amp;"serial_nb=000"&amp;Tabelle1[[#This Row],[SNr.:]]&amp;"device_type="&amp;Tabelle1[[#This Row],[Devicetype:]]</f>
        <v>mac_address=98D3D20032B4serial_nb=00012980device_type=acam_2s</v>
      </c>
      <c r="S20" s="9"/>
      <c r="T20" s="9" t="b">
        <f>EXACT(Tabelle1[[#This Row],[Configuration String aus SOME/IP-SD SOLL:]],Tabelle1[[#This Row],[Configuration String aus SOME/IP-SD IST:]])</f>
        <v>0</v>
      </c>
      <c r="U20" s="9" t="str">
        <f>Tabelle1[[#This Row],[snpn:]]&amp;"000"&amp;Tabelle1[[#This Row],[SNr.:]]&amp;LOWER(Tabelle1[[#This Row],[MAC 2:]])</f>
        <v>42245699820001298098d3d20032b4</v>
      </c>
      <c r="V20" s="9"/>
      <c r="W20" s="9" t="b">
        <f>EXACT(Tabelle1[[#This Row],[Payload getCamIdentifikation (Wireshark) SOLL:]],Tabelle1[[#This Row],[Payload getCamIdentifikation (Wireshark) IST:]])</f>
        <v>0</v>
      </c>
      <c r="X20" s="9"/>
      <c r="Y20" s="9"/>
      <c r="Z20" s="9"/>
      <c r="AA20" s="9"/>
    </row>
    <row r="21" spans="1:27" x14ac:dyDescent="0.2">
      <c r="A21" s="9">
        <f t="shared" si="0"/>
        <v>20</v>
      </c>
      <c r="B21" s="10" t="s">
        <v>38</v>
      </c>
      <c r="C21" t="s">
        <v>35</v>
      </c>
      <c r="D21" s="2" t="s">
        <v>41</v>
      </c>
      <c r="E21">
        <v>24815789</v>
      </c>
      <c r="F21">
        <v>24815789</v>
      </c>
      <c r="G21" t="s">
        <v>40</v>
      </c>
      <c r="H21" t="s">
        <v>40</v>
      </c>
      <c r="I21">
        <v>4224815789</v>
      </c>
      <c r="J21" t="s">
        <v>44</v>
      </c>
      <c r="K21">
        <v>13143</v>
      </c>
      <c r="L21" t="str">
        <f t="shared" si="1"/>
        <v>98D3D2-003357</v>
      </c>
      <c r="M21" s="9" t="str">
        <f t="shared" si="2"/>
        <v>98D3D2003357</v>
      </c>
      <c r="N21">
        <v>260515</v>
      </c>
      <c r="O21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24815789&amp;260515&amp;13143&amp;98D3D2-003357&amp;B02</v>
      </c>
      <c r="P21" s="9"/>
      <c r="Q21" s="9" t="b">
        <f>EXACT(Tabelle1[[#This Row],[DMC Kamera SOLL:]],Tabelle1[[#This Row],[DMC Kamera IST:]])</f>
        <v>0</v>
      </c>
      <c r="R21" s="9" t="str">
        <f>"mac_address="&amp;Tabelle1[[#This Row],[MAC 2:]]&amp;"serial_nb=000"&amp;Tabelle1[[#This Row],[SNr.:]]&amp;"device_type="&amp;Tabelle1[[#This Row],[Devicetype:]]</f>
        <v>mac_address=98D3D2003357serial_nb=00013143device_type=acam_2</v>
      </c>
      <c r="S21" s="9"/>
      <c r="T21" s="9" t="b">
        <f>EXACT(Tabelle1[[#This Row],[Configuration String aus SOME/IP-SD SOLL:]],Tabelle1[[#This Row],[Configuration String aus SOME/IP-SD IST:]])</f>
        <v>0</v>
      </c>
      <c r="U21" s="9" t="str">
        <f>Tabelle1[[#This Row],[snpn:]]&amp;"000"&amp;Tabelle1[[#This Row],[SNr.:]]&amp;LOWER(Tabelle1[[#This Row],[MAC 2:]])</f>
        <v>42248157890001314398d3d2003357</v>
      </c>
      <c r="V21" s="9"/>
      <c r="W21" s="9" t="b">
        <f>EXACT(Tabelle1[[#This Row],[Payload getCamIdentifikation (Wireshark) SOLL:]],Tabelle1[[#This Row],[Payload getCamIdentifikation (Wireshark) IST:]])</f>
        <v>0</v>
      </c>
      <c r="X21" s="9"/>
      <c r="Y21" s="9"/>
      <c r="Z21" s="9"/>
      <c r="AA21" s="9"/>
    </row>
    <row r="22" spans="1:27" x14ac:dyDescent="0.2">
      <c r="A22" s="9">
        <f t="shared" si="0"/>
        <v>21</v>
      </c>
      <c r="B22" s="10" t="s">
        <v>37</v>
      </c>
      <c r="C22" t="s">
        <v>34</v>
      </c>
      <c r="D22" s="2" t="s">
        <v>30</v>
      </c>
      <c r="E22">
        <v>24548571</v>
      </c>
      <c r="F22">
        <v>24548571</v>
      </c>
      <c r="G22" t="s">
        <v>31</v>
      </c>
      <c r="H22" t="s">
        <v>31</v>
      </c>
      <c r="I22">
        <v>4324548571</v>
      </c>
      <c r="J22" t="s">
        <v>42</v>
      </c>
      <c r="K22">
        <v>13144</v>
      </c>
      <c r="L22" t="str">
        <f t="shared" si="1"/>
        <v>98D3D2-003358</v>
      </c>
      <c r="M22" s="9" t="str">
        <f t="shared" si="2"/>
        <v>98D3D2003358</v>
      </c>
      <c r="N22">
        <v>260515</v>
      </c>
      <c r="O22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24548571&amp;260515&amp;13144&amp;98D3D2-003358&amp;B03</v>
      </c>
      <c r="P22" s="9"/>
      <c r="Q22" s="9" t="b">
        <f>EXACT(Tabelle1[[#This Row],[DMC Kamera SOLL:]],Tabelle1[[#This Row],[DMC Kamera IST:]])</f>
        <v>0</v>
      </c>
      <c r="R22" s="9" t="str">
        <f>"mac_address="&amp;Tabelle1[[#This Row],[MAC 2:]]&amp;"serial_nb=000"&amp;Tabelle1[[#This Row],[SNr.:]]&amp;"device_type="&amp;Tabelle1[[#This Row],[Devicetype:]]</f>
        <v>mac_address=98D3D2003358serial_nb=00013144device_type=rcam_2</v>
      </c>
      <c r="S22" s="9"/>
      <c r="T22" s="9" t="b">
        <f>EXACT(Tabelle1[[#This Row],[Configuration String aus SOME/IP-SD SOLL:]],Tabelle1[[#This Row],[Configuration String aus SOME/IP-SD IST:]])</f>
        <v>0</v>
      </c>
      <c r="U22" s="9" t="str">
        <f>Tabelle1[[#This Row],[snpn:]]&amp;"000"&amp;Tabelle1[[#This Row],[SNr.:]]&amp;LOWER(Tabelle1[[#This Row],[MAC 2:]])</f>
        <v>43245485710001314498d3d2003358</v>
      </c>
      <c r="V22" s="9"/>
      <c r="W22" s="9" t="b">
        <f>EXACT(Tabelle1[[#This Row],[Payload getCamIdentifikation (Wireshark) SOLL:]],Tabelle1[[#This Row],[Payload getCamIdentifikation (Wireshark) IST:]])</f>
        <v>0</v>
      </c>
      <c r="X22" s="9"/>
      <c r="Y22" s="9"/>
      <c r="Z22" s="9"/>
      <c r="AA22" s="9"/>
    </row>
    <row r="23" spans="1:27" x14ac:dyDescent="0.2">
      <c r="A23" s="2">
        <f t="shared" ref="A23:A29" si="3">ROW()-1</f>
        <v>22</v>
      </c>
      <c r="B23" s="10" t="s">
        <v>46</v>
      </c>
      <c r="C23" t="s">
        <v>47</v>
      </c>
      <c r="D23" s="2" t="s">
        <v>45</v>
      </c>
      <c r="E23">
        <v>24569982</v>
      </c>
      <c r="F23">
        <v>24569982</v>
      </c>
      <c r="G23" t="s">
        <v>40</v>
      </c>
      <c r="H23" t="s">
        <v>40</v>
      </c>
      <c r="I23">
        <v>4224569982</v>
      </c>
      <c r="J23" s="2" t="s">
        <v>43</v>
      </c>
      <c r="K23">
        <v>12965</v>
      </c>
      <c r="L23" s="2" t="str">
        <f t="shared" ref="L23:L29" si="4">"98D3D2-00"&amp;DEC2HEX(K23)</f>
        <v>98D3D2-0032A5</v>
      </c>
      <c r="M23" s="2" t="str">
        <f t="shared" ref="M23:M29" si="5">"98D3D200"&amp;DEC2HEX(K23)</f>
        <v>98D3D20032A5</v>
      </c>
      <c r="N23">
        <v>260515</v>
      </c>
      <c r="O23" s="2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24569982&amp;260515&amp;12965&amp;98D3D2-0032A5&amp;B02</v>
      </c>
      <c r="P23" s="2"/>
      <c r="Q23" s="2" t="b">
        <f>EXACT(Tabelle1[[#This Row],[DMC Kamera SOLL:]],Tabelle1[[#This Row],[DMC Kamera IST:]])</f>
        <v>0</v>
      </c>
      <c r="R23" s="2" t="str">
        <f>"mac_address="&amp;Tabelle1[[#This Row],[MAC 2:]]&amp;"serial_nb=000"&amp;Tabelle1[[#This Row],[SNr.:]]&amp;"device_type="&amp;Tabelle1[[#This Row],[Devicetype:]]</f>
        <v>mac_address=98D3D20032A5serial_nb=00012965device_type=acam_2s</v>
      </c>
      <c r="S23" s="2"/>
      <c r="T23" s="2" t="b">
        <f>EXACT(Tabelle1[[#This Row],[Configuration String aus SOME/IP-SD SOLL:]],Tabelle1[[#This Row],[Configuration String aus SOME/IP-SD IST:]])</f>
        <v>0</v>
      </c>
      <c r="U23" s="2" t="str">
        <f>Tabelle1[[#This Row],[snpn:]]&amp;"000"&amp;Tabelle1[[#This Row],[SNr.:]]&amp;LOWER(Tabelle1[[#This Row],[MAC 2:]])</f>
        <v>42245699820001296598d3d20032a5</v>
      </c>
      <c r="V23" s="2"/>
      <c r="W23" s="2" t="b">
        <f>EXACT(Tabelle1[[#This Row],[Payload getCamIdentifikation (Wireshark) SOLL:]],Tabelle1[[#This Row],[Payload getCamIdentifikation (Wireshark) IST:]])</f>
        <v>0</v>
      </c>
      <c r="X23" s="2"/>
      <c r="Y23" s="2"/>
      <c r="Z23" s="2"/>
      <c r="AA23" s="2"/>
    </row>
    <row r="24" spans="1:27" x14ac:dyDescent="0.2">
      <c r="A24" s="2">
        <f t="shared" si="3"/>
        <v>23</v>
      </c>
      <c r="B24" s="10" t="s">
        <v>46</v>
      </c>
      <c r="C24" t="s">
        <v>47</v>
      </c>
      <c r="D24" s="2" t="s">
        <v>45</v>
      </c>
      <c r="E24">
        <v>24569982</v>
      </c>
      <c r="F24">
        <v>24569982</v>
      </c>
      <c r="G24" t="s">
        <v>40</v>
      </c>
      <c r="H24" t="s">
        <v>40</v>
      </c>
      <c r="I24">
        <v>4224569982</v>
      </c>
      <c r="J24" s="2" t="s">
        <v>43</v>
      </c>
      <c r="K24">
        <v>13003</v>
      </c>
      <c r="L24" s="2" t="str">
        <f t="shared" si="4"/>
        <v>98D3D2-0032CB</v>
      </c>
      <c r="M24" s="2" t="str">
        <f t="shared" si="5"/>
        <v>98D3D20032CB</v>
      </c>
      <c r="N24">
        <v>260515</v>
      </c>
      <c r="O24" s="2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24569982&amp;260515&amp;13003&amp;98D3D2-0032CB&amp;B02</v>
      </c>
      <c r="P24" s="2"/>
      <c r="Q24" s="2" t="b">
        <f>EXACT(Tabelle1[[#This Row],[DMC Kamera SOLL:]],Tabelle1[[#This Row],[DMC Kamera IST:]])</f>
        <v>0</v>
      </c>
      <c r="R24" s="2" t="str">
        <f>"mac_address="&amp;Tabelle1[[#This Row],[MAC 2:]]&amp;"serial_nb=000"&amp;Tabelle1[[#This Row],[SNr.:]]&amp;"device_type="&amp;Tabelle1[[#This Row],[Devicetype:]]</f>
        <v>mac_address=98D3D20032CBserial_nb=00013003device_type=acam_2s</v>
      </c>
      <c r="S24" s="2"/>
      <c r="T24" s="2" t="b">
        <f>EXACT(Tabelle1[[#This Row],[Configuration String aus SOME/IP-SD SOLL:]],Tabelle1[[#This Row],[Configuration String aus SOME/IP-SD IST:]])</f>
        <v>0</v>
      </c>
      <c r="U24" s="2" t="str">
        <f>Tabelle1[[#This Row],[snpn:]]&amp;"000"&amp;Tabelle1[[#This Row],[SNr.:]]&amp;LOWER(Tabelle1[[#This Row],[MAC 2:]])</f>
        <v>42245699820001300398d3d20032cb</v>
      </c>
      <c r="V24" s="2"/>
      <c r="W24" s="2" t="b">
        <f>EXACT(Tabelle1[[#This Row],[Payload getCamIdentifikation (Wireshark) SOLL:]],Tabelle1[[#This Row],[Payload getCamIdentifikation (Wireshark) IST:]])</f>
        <v>0</v>
      </c>
      <c r="X24" s="2"/>
      <c r="Y24" s="2"/>
      <c r="Z24" s="2"/>
      <c r="AA24" s="2"/>
    </row>
    <row r="25" spans="1:27" x14ac:dyDescent="0.2">
      <c r="A25" s="2">
        <f t="shared" si="3"/>
        <v>24</v>
      </c>
      <c r="B25" s="10" t="s">
        <v>46</v>
      </c>
      <c r="C25" t="s">
        <v>47</v>
      </c>
      <c r="D25" s="2" t="s">
        <v>45</v>
      </c>
      <c r="E25">
        <v>24569982</v>
      </c>
      <c r="F25">
        <v>24569982</v>
      </c>
      <c r="G25" t="s">
        <v>40</v>
      </c>
      <c r="H25" t="s">
        <v>40</v>
      </c>
      <c r="I25">
        <v>4224569982</v>
      </c>
      <c r="J25" s="2" t="s">
        <v>43</v>
      </c>
      <c r="K25">
        <v>12981</v>
      </c>
      <c r="L25" s="2" t="str">
        <f t="shared" si="4"/>
        <v>98D3D2-0032B5</v>
      </c>
      <c r="M25" s="2" t="str">
        <f t="shared" si="5"/>
        <v>98D3D20032B5</v>
      </c>
      <c r="N25">
        <v>260515</v>
      </c>
      <c r="O25" s="2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24569982&amp;260515&amp;12981&amp;98D3D2-0032B5&amp;B02</v>
      </c>
      <c r="P25" s="2"/>
      <c r="Q25" s="2" t="b">
        <f>EXACT(Tabelle1[[#This Row],[DMC Kamera SOLL:]],Tabelle1[[#This Row],[DMC Kamera IST:]])</f>
        <v>0</v>
      </c>
      <c r="R25" s="2" t="str">
        <f>"mac_address="&amp;Tabelle1[[#This Row],[MAC 2:]]&amp;"serial_nb=000"&amp;Tabelle1[[#This Row],[SNr.:]]&amp;"device_type="&amp;Tabelle1[[#This Row],[Devicetype:]]</f>
        <v>mac_address=98D3D20032B5serial_nb=00012981device_type=acam_2s</v>
      </c>
      <c r="S25" s="2"/>
      <c r="T25" s="2" t="b">
        <f>EXACT(Tabelle1[[#This Row],[Configuration String aus SOME/IP-SD SOLL:]],Tabelle1[[#This Row],[Configuration String aus SOME/IP-SD IST:]])</f>
        <v>0</v>
      </c>
      <c r="U25" s="2" t="str">
        <f>Tabelle1[[#This Row],[snpn:]]&amp;"000"&amp;Tabelle1[[#This Row],[SNr.:]]&amp;LOWER(Tabelle1[[#This Row],[MAC 2:]])</f>
        <v>42245699820001298198d3d20032b5</v>
      </c>
      <c r="V25" s="2"/>
      <c r="W25" s="2" t="b">
        <f>EXACT(Tabelle1[[#This Row],[Payload getCamIdentifikation (Wireshark) SOLL:]],Tabelle1[[#This Row],[Payload getCamIdentifikation (Wireshark) IST:]])</f>
        <v>0</v>
      </c>
      <c r="X25" s="2"/>
      <c r="Y25" s="2"/>
      <c r="Z25" s="2"/>
      <c r="AA25" s="2"/>
    </row>
    <row r="26" spans="1:27" x14ac:dyDescent="0.2">
      <c r="A26" s="2">
        <f t="shared" si="3"/>
        <v>25</v>
      </c>
      <c r="B26" s="10" t="s">
        <v>37</v>
      </c>
      <c r="C26" t="s">
        <v>34</v>
      </c>
      <c r="D26" s="2" t="s">
        <v>30</v>
      </c>
      <c r="E26">
        <v>24548571</v>
      </c>
      <c r="F26">
        <v>24548571</v>
      </c>
      <c r="G26" t="s">
        <v>31</v>
      </c>
      <c r="H26" t="s">
        <v>31</v>
      </c>
      <c r="I26">
        <v>4324548571</v>
      </c>
      <c r="J26" s="2" t="s">
        <v>42</v>
      </c>
      <c r="K26">
        <v>12983</v>
      </c>
      <c r="L26" s="2" t="str">
        <f t="shared" si="4"/>
        <v>98D3D2-0032B7</v>
      </c>
      <c r="M26" s="2" t="str">
        <f t="shared" si="5"/>
        <v>98D3D20032B7</v>
      </c>
      <c r="N26">
        <v>260515</v>
      </c>
      <c r="O26" s="2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24548571&amp;260515&amp;12983&amp;98D3D2-0032B7&amp;B03</v>
      </c>
      <c r="P26" s="2"/>
      <c r="Q26" s="2" t="b">
        <f>EXACT(Tabelle1[[#This Row],[DMC Kamera SOLL:]],Tabelle1[[#This Row],[DMC Kamera IST:]])</f>
        <v>0</v>
      </c>
      <c r="R26" s="2" t="str">
        <f>"mac_address="&amp;Tabelle1[[#This Row],[MAC 2:]]&amp;"serial_nb=000"&amp;Tabelle1[[#This Row],[SNr.:]]&amp;"device_type="&amp;Tabelle1[[#This Row],[Devicetype:]]</f>
        <v>mac_address=98D3D20032B7serial_nb=00012983device_type=rcam_2</v>
      </c>
      <c r="S26" s="2"/>
      <c r="T26" s="2" t="b">
        <f>EXACT(Tabelle1[[#This Row],[Configuration String aus SOME/IP-SD SOLL:]],Tabelle1[[#This Row],[Configuration String aus SOME/IP-SD IST:]])</f>
        <v>0</v>
      </c>
      <c r="U26" s="2" t="str">
        <f>Tabelle1[[#This Row],[snpn:]]&amp;"000"&amp;Tabelle1[[#This Row],[SNr.:]]&amp;LOWER(Tabelle1[[#This Row],[MAC 2:]])</f>
        <v>43245485710001298398d3d20032b7</v>
      </c>
      <c r="V26" s="2"/>
      <c r="W26" s="2" t="b">
        <f>EXACT(Tabelle1[[#This Row],[Payload getCamIdentifikation (Wireshark) SOLL:]],Tabelle1[[#This Row],[Payload getCamIdentifikation (Wireshark) IST:]])</f>
        <v>0</v>
      </c>
      <c r="X26" s="2"/>
      <c r="Y26" s="2"/>
      <c r="Z26" s="2"/>
      <c r="AA26" s="2"/>
    </row>
    <row r="27" spans="1:27" x14ac:dyDescent="0.2">
      <c r="A27" s="2">
        <f t="shared" si="3"/>
        <v>26</v>
      </c>
      <c r="B27" s="10" t="s">
        <v>37</v>
      </c>
      <c r="C27" t="s">
        <v>34</v>
      </c>
      <c r="D27" s="2" t="s">
        <v>30</v>
      </c>
      <c r="E27">
        <v>24548571</v>
      </c>
      <c r="F27">
        <v>24548571</v>
      </c>
      <c r="G27" t="s">
        <v>31</v>
      </c>
      <c r="H27" t="s">
        <v>31</v>
      </c>
      <c r="I27">
        <v>4324548571</v>
      </c>
      <c r="J27" s="2" t="s">
        <v>42</v>
      </c>
      <c r="K27">
        <v>12950</v>
      </c>
      <c r="L27" s="2" t="str">
        <f t="shared" si="4"/>
        <v>98D3D2-003296</v>
      </c>
      <c r="M27" s="2" t="str">
        <f t="shared" si="5"/>
        <v>98D3D2003296</v>
      </c>
      <c r="N27">
        <v>260515</v>
      </c>
      <c r="O27" s="2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24548571&amp;260515&amp;12950&amp;98D3D2-003296&amp;B03</v>
      </c>
      <c r="P27" s="2"/>
      <c r="Q27" s="2" t="b">
        <f>EXACT(Tabelle1[[#This Row],[DMC Kamera SOLL:]],Tabelle1[[#This Row],[DMC Kamera IST:]])</f>
        <v>0</v>
      </c>
      <c r="R27" s="2" t="str">
        <f>"mac_address="&amp;Tabelle1[[#This Row],[MAC 2:]]&amp;"serial_nb=000"&amp;Tabelle1[[#This Row],[SNr.:]]&amp;"device_type="&amp;Tabelle1[[#This Row],[Devicetype:]]</f>
        <v>mac_address=98D3D2003296serial_nb=00012950device_type=rcam_2</v>
      </c>
      <c r="S27" s="2"/>
      <c r="T27" s="2" t="b">
        <f>EXACT(Tabelle1[[#This Row],[Configuration String aus SOME/IP-SD SOLL:]],Tabelle1[[#This Row],[Configuration String aus SOME/IP-SD IST:]])</f>
        <v>0</v>
      </c>
      <c r="U27" s="2" t="str">
        <f>Tabelle1[[#This Row],[snpn:]]&amp;"000"&amp;Tabelle1[[#This Row],[SNr.:]]&amp;LOWER(Tabelle1[[#This Row],[MAC 2:]])</f>
        <v>43245485710001295098d3d2003296</v>
      </c>
      <c r="V27" s="2"/>
      <c r="W27" s="2" t="b">
        <f>EXACT(Tabelle1[[#This Row],[Payload getCamIdentifikation (Wireshark) SOLL:]],Tabelle1[[#This Row],[Payload getCamIdentifikation (Wireshark) IST:]])</f>
        <v>0</v>
      </c>
      <c r="X27" s="2"/>
      <c r="Y27" s="2"/>
      <c r="Z27" s="2"/>
      <c r="AA27" s="2"/>
    </row>
    <row r="28" spans="1:27" x14ac:dyDescent="0.2">
      <c r="A28" s="2">
        <f t="shared" si="3"/>
        <v>27</v>
      </c>
      <c r="B28" s="10" t="s">
        <v>37</v>
      </c>
      <c r="C28" t="s">
        <v>34</v>
      </c>
      <c r="D28" s="2" t="s">
        <v>30</v>
      </c>
      <c r="E28">
        <v>24548571</v>
      </c>
      <c r="F28">
        <v>24548571</v>
      </c>
      <c r="G28" t="s">
        <v>31</v>
      </c>
      <c r="H28" t="s">
        <v>31</v>
      </c>
      <c r="I28">
        <v>4324548571</v>
      </c>
      <c r="J28" s="2" t="s">
        <v>42</v>
      </c>
      <c r="K28">
        <v>12984</v>
      </c>
      <c r="L28" s="2" t="str">
        <f t="shared" si="4"/>
        <v>98D3D2-0032B8</v>
      </c>
      <c r="M28" s="2" t="str">
        <f t="shared" si="5"/>
        <v>98D3D20032B8</v>
      </c>
      <c r="N28">
        <v>260515</v>
      </c>
      <c r="O28" s="2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24548571&amp;260515&amp;12984&amp;98D3D2-0032B8&amp;B03</v>
      </c>
      <c r="P28" s="2"/>
      <c r="Q28" s="2" t="b">
        <f>EXACT(Tabelle1[[#This Row],[DMC Kamera SOLL:]],Tabelle1[[#This Row],[DMC Kamera IST:]])</f>
        <v>0</v>
      </c>
      <c r="R28" s="2" t="str">
        <f>"mac_address="&amp;Tabelle1[[#This Row],[MAC 2:]]&amp;"serial_nb=000"&amp;Tabelle1[[#This Row],[SNr.:]]&amp;"device_type="&amp;Tabelle1[[#This Row],[Devicetype:]]</f>
        <v>mac_address=98D3D20032B8serial_nb=00012984device_type=rcam_2</v>
      </c>
      <c r="S28" s="2"/>
      <c r="T28" s="2" t="b">
        <f>EXACT(Tabelle1[[#This Row],[Configuration String aus SOME/IP-SD SOLL:]],Tabelle1[[#This Row],[Configuration String aus SOME/IP-SD IST:]])</f>
        <v>0</v>
      </c>
      <c r="U28" s="2" t="str">
        <f>Tabelle1[[#This Row],[snpn:]]&amp;"000"&amp;Tabelle1[[#This Row],[SNr.:]]&amp;LOWER(Tabelle1[[#This Row],[MAC 2:]])</f>
        <v>43245485710001298498d3d20032b8</v>
      </c>
      <c r="V28" s="2"/>
      <c r="W28" s="2" t="b">
        <f>EXACT(Tabelle1[[#This Row],[Payload getCamIdentifikation (Wireshark) SOLL:]],Tabelle1[[#This Row],[Payload getCamIdentifikation (Wireshark) IST:]])</f>
        <v>0</v>
      </c>
      <c r="X28" s="2"/>
      <c r="Y28" s="2"/>
      <c r="Z28" s="2"/>
      <c r="AA28" s="2"/>
    </row>
    <row r="29" spans="1:27" x14ac:dyDescent="0.2">
      <c r="A29" s="2">
        <f t="shared" si="3"/>
        <v>28</v>
      </c>
      <c r="B29" s="10" t="s">
        <v>37</v>
      </c>
      <c r="C29" t="s">
        <v>34</v>
      </c>
      <c r="D29" s="2" t="s">
        <v>45</v>
      </c>
      <c r="E29">
        <v>24548571</v>
      </c>
      <c r="F29">
        <v>24548571</v>
      </c>
      <c r="G29" t="s">
        <v>31</v>
      </c>
      <c r="H29" t="s">
        <v>31</v>
      </c>
      <c r="I29">
        <v>4324548571</v>
      </c>
      <c r="J29" s="2" t="s">
        <v>42</v>
      </c>
      <c r="K29">
        <v>12982</v>
      </c>
      <c r="L29" s="2" t="str">
        <f t="shared" si="4"/>
        <v>98D3D2-0032B6</v>
      </c>
      <c r="M29" s="2" t="str">
        <f t="shared" si="5"/>
        <v>98D3D20032B6</v>
      </c>
      <c r="N29">
        <v>260515</v>
      </c>
      <c r="O29" s="2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24548571&amp;260515&amp;12982&amp;98D3D2-0032B6&amp;B03</v>
      </c>
      <c r="P29" s="2"/>
      <c r="Q29" s="2" t="b">
        <f>EXACT(Tabelle1[[#This Row],[DMC Kamera SOLL:]],Tabelle1[[#This Row],[DMC Kamera IST:]])</f>
        <v>0</v>
      </c>
      <c r="R29" s="2" t="str">
        <f>"mac_address="&amp;Tabelle1[[#This Row],[MAC 2:]]&amp;"serial_nb=000"&amp;Tabelle1[[#This Row],[SNr.:]]&amp;"device_type="&amp;Tabelle1[[#This Row],[Devicetype:]]</f>
        <v>mac_address=98D3D20032B6serial_nb=00012982device_type=acam_2s</v>
      </c>
      <c r="S29" s="2"/>
      <c r="T29" s="2" t="b">
        <f>EXACT(Tabelle1[[#This Row],[Configuration String aus SOME/IP-SD SOLL:]],Tabelle1[[#This Row],[Configuration String aus SOME/IP-SD IST:]])</f>
        <v>0</v>
      </c>
      <c r="U29" s="2" t="str">
        <f>Tabelle1[[#This Row],[snpn:]]&amp;"000"&amp;Tabelle1[[#This Row],[SNr.:]]&amp;LOWER(Tabelle1[[#This Row],[MAC 2:]])</f>
        <v>43245485710001298298d3d20032b6</v>
      </c>
      <c r="V29" s="2"/>
      <c r="W29" s="2" t="b">
        <f>EXACT(Tabelle1[[#This Row],[Payload getCamIdentifikation (Wireshark) SOLL:]],Tabelle1[[#This Row],[Payload getCamIdentifikation (Wireshark) IST:]])</f>
        <v>0</v>
      </c>
      <c r="X29" s="2"/>
      <c r="Y29" s="2"/>
      <c r="Z29" s="2"/>
      <c r="AA29" s="2"/>
    </row>
    <row r="30" spans="1:27" x14ac:dyDescent="0.2">
      <c r="A30" s="9">
        <f>ROW()-1</f>
        <v>29</v>
      </c>
      <c r="B30" s="10" t="s">
        <v>46</v>
      </c>
      <c r="C30" t="s">
        <v>47</v>
      </c>
      <c r="D30" s="2" t="s">
        <v>45</v>
      </c>
      <c r="E30">
        <v>24569982</v>
      </c>
      <c r="F30">
        <v>24569982</v>
      </c>
      <c r="G30" t="s">
        <v>40</v>
      </c>
      <c r="H30" t="s">
        <v>40</v>
      </c>
      <c r="I30">
        <v>4224569982</v>
      </c>
      <c r="J30" t="s">
        <v>43</v>
      </c>
      <c r="K30" s="11">
        <v>12990</v>
      </c>
      <c r="L30" s="9" t="str">
        <f>"98D3D2-00"&amp;DEC2HEX(K30)</f>
        <v>98D3D2-0032BE</v>
      </c>
      <c r="M30" s="9" t="str">
        <f>"98D3D200"&amp;DEC2HEX(K30)</f>
        <v>98D3D20032BE</v>
      </c>
      <c r="N30">
        <v>260515</v>
      </c>
      <c r="O30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24569982&amp;260515&amp;12990&amp;98D3D2-0032BE&amp;B02</v>
      </c>
      <c r="P30" s="9"/>
      <c r="Q30" s="9" t="b">
        <f>EXACT(Tabelle1[[#This Row],[DMC Kamera SOLL:]],Tabelle1[[#This Row],[DMC Kamera IST:]])</f>
        <v>0</v>
      </c>
      <c r="R30" s="9" t="str">
        <f>"mac_address="&amp;Tabelle1[[#This Row],[MAC 2:]]&amp;"serial_nb=000"&amp;Tabelle1[[#This Row],[SNr.:]]&amp;"device_type="&amp;Tabelle1[[#This Row],[Devicetype:]]</f>
        <v>mac_address=98D3D20032BEserial_nb=00012990device_type=acam_2s</v>
      </c>
      <c r="S30" s="9"/>
      <c r="T30" s="9" t="b">
        <f>EXACT(Tabelle1[[#This Row],[Configuration String aus SOME/IP-SD SOLL:]],Tabelle1[[#This Row],[Configuration String aus SOME/IP-SD IST:]])</f>
        <v>0</v>
      </c>
      <c r="U30" s="9" t="str">
        <f>Tabelle1[[#This Row],[snpn:]]&amp;"000"&amp;Tabelle1[[#This Row],[SNr.:]]&amp;LOWER(Tabelle1[[#This Row],[MAC 2:]])</f>
        <v>42245699820001299098d3d20032be</v>
      </c>
      <c r="V30" s="9"/>
      <c r="W30" s="9" t="b">
        <f>EXACT(Tabelle1[[#This Row],[Payload getCamIdentifikation (Wireshark) SOLL:]],Tabelle1[[#This Row],[Payload getCamIdentifikation (Wireshark) IST:]])</f>
        <v>0</v>
      </c>
      <c r="X30" s="9"/>
      <c r="Y30" s="9"/>
      <c r="Z30" s="9"/>
      <c r="AA30" s="9"/>
    </row>
    <row r="31" spans="1:27" x14ac:dyDescent="0.2">
      <c r="A31" s="9">
        <f t="shared" ref="A31:A76" si="6">ROW()-1</f>
        <v>30</v>
      </c>
      <c r="B31" s="10" t="s">
        <v>33</v>
      </c>
      <c r="C31" t="s">
        <v>32</v>
      </c>
      <c r="D31" s="2" t="s">
        <v>30</v>
      </c>
      <c r="E31">
        <v>24548571</v>
      </c>
      <c r="F31">
        <v>24548571</v>
      </c>
      <c r="G31" t="s">
        <v>31</v>
      </c>
      <c r="H31" t="s">
        <v>31</v>
      </c>
      <c r="I31">
        <v>4324548571</v>
      </c>
      <c r="J31" t="s">
        <v>48</v>
      </c>
      <c r="K31">
        <v>12677</v>
      </c>
      <c r="L31" s="9" t="str">
        <f t="shared" ref="L31:L76" si="7">"98D3D2-00"&amp;DEC2HEX(K31)</f>
        <v>98D3D2-003185</v>
      </c>
      <c r="M31" s="9" t="str">
        <f t="shared" ref="M31:M76" si="8">"98D3D200"&amp;DEC2HEX(K31)</f>
        <v>98D3D2003185</v>
      </c>
      <c r="N31">
        <v>260515</v>
      </c>
      <c r="O31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24548571&amp;260515&amp;12677&amp;98D3D2-003185&amp;B03</v>
      </c>
      <c r="P31" s="9"/>
      <c r="Q31" s="9" t="b">
        <f>EXACT(Tabelle1[[#This Row],[DMC Kamera SOLL:]],Tabelle1[[#This Row],[DMC Kamera IST:]])</f>
        <v>0</v>
      </c>
      <c r="R31" s="9" t="str">
        <f>"mac_address="&amp;Tabelle1[[#This Row],[MAC 2:]]&amp;"serial_nb=000"&amp;Tabelle1[[#This Row],[SNr.:]]&amp;"device_type="&amp;Tabelle1[[#This Row],[Devicetype:]]</f>
        <v>mac_address=98D3D2003185serial_nb=00012677device_type=rcam_2</v>
      </c>
      <c r="S31" s="9"/>
      <c r="T31" s="9" t="b">
        <f>EXACT(Tabelle1[[#This Row],[Configuration String aus SOME/IP-SD SOLL:]],Tabelle1[[#This Row],[Configuration String aus SOME/IP-SD IST:]])</f>
        <v>0</v>
      </c>
      <c r="U31" s="9" t="str">
        <f>Tabelle1[[#This Row],[snpn:]]&amp;"000"&amp;Tabelle1[[#This Row],[SNr.:]]&amp;LOWER(Tabelle1[[#This Row],[MAC 2:]])</f>
        <v>43245485710001267798d3d2003185</v>
      </c>
      <c r="V31" s="9"/>
      <c r="W31" s="9" t="b">
        <f>EXACT(Tabelle1[[#This Row],[Payload getCamIdentifikation (Wireshark) SOLL:]],Tabelle1[[#This Row],[Payload getCamIdentifikation (Wireshark) IST:]])</f>
        <v>0</v>
      </c>
      <c r="X31" s="9"/>
      <c r="Y31" s="9"/>
      <c r="Z31" s="9"/>
      <c r="AA31" s="9"/>
    </row>
    <row r="32" spans="1:27" x14ac:dyDescent="0.2">
      <c r="A32" s="9">
        <f t="shared" si="6"/>
        <v>31</v>
      </c>
      <c r="B32" s="10" t="s">
        <v>33</v>
      </c>
      <c r="C32" t="s">
        <v>32</v>
      </c>
      <c r="D32" s="2" t="s">
        <v>30</v>
      </c>
      <c r="E32">
        <v>24548571</v>
      </c>
      <c r="F32">
        <v>24548571</v>
      </c>
      <c r="G32" t="s">
        <v>31</v>
      </c>
      <c r="H32" t="s">
        <v>31</v>
      </c>
      <c r="I32">
        <v>4324548571</v>
      </c>
      <c r="J32" t="s">
        <v>48</v>
      </c>
      <c r="K32">
        <v>12678</v>
      </c>
      <c r="L32" s="9" t="str">
        <f t="shared" si="7"/>
        <v>98D3D2-003186</v>
      </c>
      <c r="M32" s="9" t="str">
        <f t="shared" si="8"/>
        <v>98D3D2003186</v>
      </c>
      <c r="N32">
        <v>260515</v>
      </c>
      <c r="O32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24548571&amp;260515&amp;12678&amp;98D3D2-003186&amp;B03</v>
      </c>
      <c r="P32" s="9"/>
      <c r="Q32" s="9" t="b">
        <f>EXACT(Tabelle1[[#This Row],[DMC Kamera SOLL:]],Tabelle1[[#This Row],[DMC Kamera IST:]])</f>
        <v>0</v>
      </c>
      <c r="R32" s="9" t="str">
        <f>"mac_address="&amp;Tabelle1[[#This Row],[MAC 2:]]&amp;"serial_nb=000"&amp;Tabelle1[[#This Row],[SNr.:]]&amp;"device_type="&amp;Tabelle1[[#This Row],[Devicetype:]]</f>
        <v>mac_address=98D3D2003186serial_nb=00012678device_type=rcam_2</v>
      </c>
      <c r="S32" s="9"/>
      <c r="T32" s="9" t="b">
        <f>EXACT(Tabelle1[[#This Row],[Configuration String aus SOME/IP-SD SOLL:]],Tabelle1[[#This Row],[Configuration String aus SOME/IP-SD IST:]])</f>
        <v>0</v>
      </c>
      <c r="U32" s="9" t="str">
        <f>Tabelle1[[#This Row],[snpn:]]&amp;"000"&amp;Tabelle1[[#This Row],[SNr.:]]&amp;LOWER(Tabelle1[[#This Row],[MAC 2:]])</f>
        <v>43245485710001267898d3d2003186</v>
      </c>
      <c r="V32" s="9"/>
      <c r="W32" s="9" t="b">
        <f>EXACT(Tabelle1[[#This Row],[Payload getCamIdentifikation (Wireshark) SOLL:]],Tabelle1[[#This Row],[Payload getCamIdentifikation (Wireshark) IST:]])</f>
        <v>0</v>
      </c>
      <c r="X32" s="9"/>
      <c r="Y32" s="9"/>
      <c r="Z32" s="9"/>
      <c r="AA32" s="9"/>
    </row>
    <row r="33" spans="1:27" x14ac:dyDescent="0.2">
      <c r="A33" s="9">
        <f t="shared" si="6"/>
        <v>32</v>
      </c>
      <c r="B33" s="10" t="s">
        <v>33</v>
      </c>
      <c r="C33" t="s">
        <v>32</v>
      </c>
      <c r="D33" s="2" t="s">
        <v>30</v>
      </c>
      <c r="E33">
        <v>24548571</v>
      </c>
      <c r="F33">
        <v>24548571</v>
      </c>
      <c r="G33" t="s">
        <v>31</v>
      </c>
      <c r="H33" t="s">
        <v>31</v>
      </c>
      <c r="I33">
        <v>4324548571</v>
      </c>
      <c r="J33" t="s">
        <v>48</v>
      </c>
      <c r="K33">
        <v>12679</v>
      </c>
      <c r="L33" s="9" t="str">
        <f t="shared" si="7"/>
        <v>98D3D2-003187</v>
      </c>
      <c r="M33" s="9" t="str">
        <f t="shared" si="8"/>
        <v>98D3D2003187</v>
      </c>
      <c r="N33">
        <v>260515</v>
      </c>
      <c r="O33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24548571&amp;260515&amp;12679&amp;98D3D2-003187&amp;B03</v>
      </c>
      <c r="P33" s="9"/>
      <c r="Q33" s="9" t="b">
        <f>EXACT(Tabelle1[[#This Row],[DMC Kamera SOLL:]],Tabelle1[[#This Row],[DMC Kamera IST:]])</f>
        <v>0</v>
      </c>
      <c r="R33" s="9" t="str">
        <f>"mac_address="&amp;Tabelle1[[#This Row],[MAC 2:]]&amp;"serial_nb=000"&amp;Tabelle1[[#This Row],[SNr.:]]&amp;"device_type="&amp;Tabelle1[[#This Row],[Devicetype:]]</f>
        <v>mac_address=98D3D2003187serial_nb=00012679device_type=rcam_2</v>
      </c>
      <c r="S33" s="9"/>
      <c r="T33" s="9" t="b">
        <f>EXACT(Tabelle1[[#This Row],[Configuration String aus SOME/IP-SD SOLL:]],Tabelle1[[#This Row],[Configuration String aus SOME/IP-SD IST:]])</f>
        <v>0</v>
      </c>
      <c r="U33" s="9" t="str">
        <f>Tabelle1[[#This Row],[snpn:]]&amp;"000"&amp;Tabelle1[[#This Row],[SNr.:]]&amp;LOWER(Tabelle1[[#This Row],[MAC 2:]])</f>
        <v>43245485710001267998d3d2003187</v>
      </c>
      <c r="V33" s="9"/>
      <c r="W33" s="9" t="b">
        <f>EXACT(Tabelle1[[#This Row],[Payload getCamIdentifikation (Wireshark) SOLL:]],Tabelle1[[#This Row],[Payload getCamIdentifikation (Wireshark) IST:]])</f>
        <v>0</v>
      </c>
      <c r="X33" s="9"/>
      <c r="Y33" s="9"/>
      <c r="Z33" s="9"/>
      <c r="AA33" s="9"/>
    </row>
    <row r="34" spans="1:27" x14ac:dyDescent="0.2">
      <c r="A34" s="9">
        <f t="shared" si="6"/>
        <v>33</v>
      </c>
      <c r="B34" s="10" t="s">
        <v>33</v>
      </c>
      <c r="C34" t="s">
        <v>32</v>
      </c>
      <c r="D34" s="2" t="s">
        <v>30</v>
      </c>
      <c r="E34">
        <v>24548571</v>
      </c>
      <c r="F34">
        <v>24548571</v>
      </c>
      <c r="G34" t="s">
        <v>31</v>
      </c>
      <c r="H34" t="s">
        <v>31</v>
      </c>
      <c r="I34">
        <v>4324548571</v>
      </c>
      <c r="J34" t="s">
        <v>48</v>
      </c>
      <c r="K34">
        <v>12680</v>
      </c>
      <c r="L34" s="9" t="str">
        <f t="shared" si="7"/>
        <v>98D3D2-003188</v>
      </c>
      <c r="M34" s="9" t="str">
        <f t="shared" si="8"/>
        <v>98D3D2003188</v>
      </c>
      <c r="N34">
        <v>260515</v>
      </c>
      <c r="O34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24548571&amp;260515&amp;12680&amp;98D3D2-003188&amp;B03</v>
      </c>
      <c r="P34" s="9"/>
      <c r="Q34" s="9" t="b">
        <f>EXACT(Tabelle1[[#This Row],[DMC Kamera SOLL:]],Tabelle1[[#This Row],[DMC Kamera IST:]])</f>
        <v>0</v>
      </c>
      <c r="R34" s="9" t="str">
        <f>"mac_address="&amp;Tabelle1[[#This Row],[MAC 2:]]&amp;"serial_nb=000"&amp;Tabelle1[[#This Row],[SNr.:]]&amp;"device_type="&amp;Tabelle1[[#This Row],[Devicetype:]]</f>
        <v>mac_address=98D3D2003188serial_nb=00012680device_type=rcam_2</v>
      </c>
      <c r="S34" s="9"/>
      <c r="T34" s="9" t="b">
        <f>EXACT(Tabelle1[[#This Row],[Configuration String aus SOME/IP-SD SOLL:]],Tabelle1[[#This Row],[Configuration String aus SOME/IP-SD IST:]])</f>
        <v>0</v>
      </c>
      <c r="U34" s="9" t="str">
        <f>Tabelle1[[#This Row],[snpn:]]&amp;"000"&amp;Tabelle1[[#This Row],[SNr.:]]&amp;LOWER(Tabelle1[[#This Row],[MAC 2:]])</f>
        <v>43245485710001268098d3d2003188</v>
      </c>
      <c r="V34" s="9"/>
      <c r="W34" s="9" t="b">
        <f>EXACT(Tabelle1[[#This Row],[Payload getCamIdentifikation (Wireshark) SOLL:]],Tabelle1[[#This Row],[Payload getCamIdentifikation (Wireshark) IST:]])</f>
        <v>0</v>
      </c>
      <c r="X34" s="9"/>
      <c r="Y34" s="9"/>
      <c r="Z34" s="9"/>
      <c r="AA34" s="9"/>
    </row>
    <row r="35" spans="1:27" x14ac:dyDescent="0.2">
      <c r="A35" s="9">
        <f t="shared" si="6"/>
        <v>34</v>
      </c>
      <c r="B35" s="10" t="s">
        <v>33</v>
      </c>
      <c r="C35" t="s">
        <v>32</v>
      </c>
      <c r="D35" s="2" t="s">
        <v>30</v>
      </c>
      <c r="E35">
        <v>24548571</v>
      </c>
      <c r="F35">
        <v>24548571</v>
      </c>
      <c r="G35" t="s">
        <v>31</v>
      </c>
      <c r="H35" t="s">
        <v>31</v>
      </c>
      <c r="I35">
        <v>4324548571</v>
      </c>
      <c r="J35" t="s">
        <v>48</v>
      </c>
      <c r="K35">
        <v>12681</v>
      </c>
      <c r="L35" s="9" t="str">
        <f t="shared" si="7"/>
        <v>98D3D2-003189</v>
      </c>
      <c r="M35" s="9" t="str">
        <f t="shared" si="8"/>
        <v>98D3D2003189</v>
      </c>
      <c r="N35">
        <v>260515</v>
      </c>
      <c r="O35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24548571&amp;260515&amp;12681&amp;98D3D2-003189&amp;B03</v>
      </c>
      <c r="P35" s="9"/>
      <c r="Q35" s="9" t="b">
        <f>EXACT(Tabelle1[[#This Row],[DMC Kamera SOLL:]],Tabelle1[[#This Row],[DMC Kamera IST:]])</f>
        <v>0</v>
      </c>
      <c r="R35" s="9" t="str">
        <f>"mac_address="&amp;Tabelle1[[#This Row],[MAC 2:]]&amp;"serial_nb=000"&amp;Tabelle1[[#This Row],[SNr.:]]&amp;"device_type="&amp;Tabelle1[[#This Row],[Devicetype:]]</f>
        <v>mac_address=98D3D2003189serial_nb=00012681device_type=rcam_2</v>
      </c>
      <c r="S35" s="9"/>
      <c r="T35" s="9" t="b">
        <f>EXACT(Tabelle1[[#This Row],[Configuration String aus SOME/IP-SD SOLL:]],Tabelle1[[#This Row],[Configuration String aus SOME/IP-SD IST:]])</f>
        <v>0</v>
      </c>
      <c r="U35" s="9" t="str">
        <f>Tabelle1[[#This Row],[snpn:]]&amp;"000"&amp;Tabelle1[[#This Row],[SNr.:]]&amp;LOWER(Tabelle1[[#This Row],[MAC 2:]])</f>
        <v>43245485710001268198d3d2003189</v>
      </c>
      <c r="V35" s="9"/>
      <c r="W35" s="9" t="b">
        <f>EXACT(Tabelle1[[#This Row],[Payload getCamIdentifikation (Wireshark) SOLL:]],Tabelle1[[#This Row],[Payload getCamIdentifikation (Wireshark) IST:]])</f>
        <v>0</v>
      </c>
      <c r="X35" s="9"/>
      <c r="Y35" s="9"/>
      <c r="Z35" s="9"/>
      <c r="AA35" s="9"/>
    </row>
    <row r="36" spans="1:27" x14ac:dyDescent="0.2">
      <c r="A36" s="9">
        <f t="shared" si="6"/>
        <v>35</v>
      </c>
      <c r="B36" s="10" t="s">
        <v>33</v>
      </c>
      <c r="C36" t="s">
        <v>32</v>
      </c>
      <c r="D36" s="2" t="s">
        <v>30</v>
      </c>
      <c r="E36">
        <v>24548571</v>
      </c>
      <c r="F36">
        <v>24548571</v>
      </c>
      <c r="G36" t="s">
        <v>31</v>
      </c>
      <c r="H36" t="s">
        <v>31</v>
      </c>
      <c r="I36">
        <v>4324548571</v>
      </c>
      <c r="J36" t="s">
        <v>48</v>
      </c>
      <c r="K36">
        <v>12682</v>
      </c>
      <c r="L36" s="9" t="str">
        <f t="shared" si="7"/>
        <v>98D3D2-00318A</v>
      </c>
      <c r="M36" s="9" t="str">
        <f t="shared" si="8"/>
        <v>98D3D200318A</v>
      </c>
      <c r="N36">
        <v>260515</v>
      </c>
      <c r="O36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24548571&amp;260515&amp;12682&amp;98D3D2-00318A&amp;B03</v>
      </c>
      <c r="P36" s="9"/>
      <c r="Q36" s="9" t="b">
        <f>EXACT(Tabelle1[[#This Row],[DMC Kamera SOLL:]],Tabelle1[[#This Row],[DMC Kamera IST:]])</f>
        <v>0</v>
      </c>
      <c r="R36" s="9" t="str">
        <f>"mac_address="&amp;Tabelle1[[#This Row],[MAC 2:]]&amp;"serial_nb=000"&amp;Tabelle1[[#This Row],[SNr.:]]&amp;"device_type="&amp;Tabelle1[[#This Row],[Devicetype:]]</f>
        <v>mac_address=98D3D200318Aserial_nb=00012682device_type=rcam_2</v>
      </c>
      <c r="S36" s="9"/>
      <c r="T36" s="9" t="b">
        <f>EXACT(Tabelle1[[#This Row],[Configuration String aus SOME/IP-SD SOLL:]],Tabelle1[[#This Row],[Configuration String aus SOME/IP-SD IST:]])</f>
        <v>0</v>
      </c>
      <c r="U36" s="9" t="str">
        <f>Tabelle1[[#This Row],[snpn:]]&amp;"000"&amp;Tabelle1[[#This Row],[SNr.:]]&amp;LOWER(Tabelle1[[#This Row],[MAC 2:]])</f>
        <v>43245485710001268298d3d200318a</v>
      </c>
      <c r="V36" s="9"/>
      <c r="W36" s="9" t="b">
        <f>EXACT(Tabelle1[[#This Row],[Payload getCamIdentifikation (Wireshark) SOLL:]],Tabelle1[[#This Row],[Payload getCamIdentifikation (Wireshark) IST:]])</f>
        <v>0</v>
      </c>
      <c r="X36" s="9"/>
      <c r="Y36" s="9"/>
      <c r="Z36" s="9"/>
      <c r="AA36" s="9"/>
    </row>
    <row r="37" spans="1:27" x14ac:dyDescent="0.2">
      <c r="A37" s="9">
        <f t="shared" si="6"/>
        <v>36</v>
      </c>
      <c r="B37" s="10" t="s">
        <v>33</v>
      </c>
      <c r="C37" t="s">
        <v>32</v>
      </c>
      <c r="D37" s="2" t="s">
        <v>30</v>
      </c>
      <c r="E37">
        <v>24548571</v>
      </c>
      <c r="F37">
        <v>24548571</v>
      </c>
      <c r="G37" t="s">
        <v>31</v>
      </c>
      <c r="H37" t="s">
        <v>31</v>
      </c>
      <c r="I37">
        <v>4324548571</v>
      </c>
      <c r="J37" t="s">
        <v>48</v>
      </c>
      <c r="K37">
        <v>12683</v>
      </c>
      <c r="L37" s="9" t="str">
        <f t="shared" si="7"/>
        <v>98D3D2-00318B</v>
      </c>
      <c r="M37" s="9" t="str">
        <f t="shared" si="8"/>
        <v>98D3D200318B</v>
      </c>
      <c r="N37">
        <v>260515</v>
      </c>
      <c r="O37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24548571&amp;260515&amp;12683&amp;98D3D2-00318B&amp;B03</v>
      </c>
      <c r="P37" s="9"/>
      <c r="Q37" s="9" t="b">
        <f>EXACT(Tabelle1[[#This Row],[DMC Kamera SOLL:]],Tabelle1[[#This Row],[DMC Kamera IST:]])</f>
        <v>0</v>
      </c>
      <c r="R37" s="9" t="str">
        <f>"mac_address="&amp;Tabelle1[[#This Row],[MAC 2:]]&amp;"serial_nb=000"&amp;Tabelle1[[#This Row],[SNr.:]]&amp;"device_type="&amp;Tabelle1[[#This Row],[Devicetype:]]</f>
        <v>mac_address=98D3D200318Bserial_nb=00012683device_type=rcam_2</v>
      </c>
      <c r="S37" s="9"/>
      <c r="T37" s="9" t="b">
        <f>EXACT(Tabelle1[[#This Row],[Configuration String aus SOME/IP-SD SOLL:]],Tabelle1[[#This Row],[Configuration String aus SOME/IP-SD IST:]])</f>
        <v>0</v>
      </c>
      <c r="U37" s="9" t="str">
        <f>Tabelle1[[#This Row],[snpn:]]&amp;"000"&amp;Tabelle1[[#This Row],[SNr.:]]&amp;LOWER(Tabelle1[[#This Row],[MAC 2:]])</f>
        <v>43245485710001268398d3d200318b</v>
      </c>
      <c r="V37" s="9"/>
      <c r="W37" s="9" t="b">
        <f>EXACT(Tabelle1[[#This Row],[Payload getCamIdentifikation (Wireshark) SOLL:]],Tabelle1[[#This Row],[Payload getCamIdentifikation (Wireshark) IST:]])</f>
        <v>0</v>
      </c>
      <c r="X37" s="9"/>
      <c r="Y37" s="9"/>
      <c r="Z37" s="9"/>
      <c r="AA37" s="9"/>
    </row>
    <row r="38" spans="1:27" x14ac:dyDescent="0.2">
      <c r="A38" s="9">
        <f t="shared" si="6"/>
        <v>37</v>
      </c>
      <c r="B38" s="10" t="s">
        <v>33</v>
      </c>
      <c r="C38" t="s">
        <v>32</v>
      </c>
      <c r="D38" s="2" t="s">
        <v>30</v>
      </c>
      <c r="E38">
        <v>24548571</v>
      </c>
      <c r="F38">
        <v>24548571</v>
      </c>
      <c r="G38" t="s">
        <v>31</v>
      </c>
      <c r="H38" t="s">
        <v>31</v>
      </c>
      <c r="I38">
        <v>4324548571</v>
      </c>
      <c r="J38" t="s">
        <v>48</v>
      </c>
      <c r="K38">
        <v>12684</v>
      </c>
      <c r="L38" s="9" t="str">
        <f t="shared" si="7"/>
        <v>98D3D2-00318C</v>
      </c>
      <c r="M38" s="9" t="str">
        <f t="shared" si="8"/>
        <v>98D3D200318C</v>
      </c>
      <c r="N38">
        <v>260515</v>
      </c>
      <c r="O38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24548571&amp;260515&amp;12684&amp;98D3D2-00318C&amp;B03</v>
      </c>
      <c r="P38" s="9"/>
      <c r="Q38" s="9" t="b">
        <f>EXACT(Tabelle1[[#This Row],[DMC Kamera SOLL:]],Tabelle1[[#This Row],[DMC Kamera IST:]])</f>
        <v>0</v>
      </c>
      <c r="R38" s="9" t="str">
        <f>"mac_address="&amp;Tabelle1[[#This Row],[MAC 2:]]&amp;"serial_nb=000"&amp;Tabelle1[[#This Row],[SNr.:]]&amp;"device_type="&amp;Tabelle1[[#This Row],[Devicetype:]]</f>
        <v>mac_address=98D3D200318Cserial_nb=00012684device_type=rcam_2</v>
      </c>
      <c r="S38" s="9"/>
      <c r="T38" s="9" t="b">
        <f>EXACT(Tabelle1[[#This Row],[Configuration String aus SOME/IP-SD SOLL:]],Tabelle1[[#This Row],[Configuration String aus SOME/IP-SD IST:]])</f>
        <v>0</v>
      </c>
      <c r="U38" s="9" t="str">
        <f>Tabelle1[[#This Row],[snpn:]]&amp;"000"&amp;Tabelle1[[#This Row],[SNr.:]]&amp;LOWER(Tabelle1[[#This Row],[MAC 2:]])</f>
        <v>43245485710001268498d3d200318c</v>
      </c>
      <c r="V38" s="9"/>
      <c r="W38" s="9" t="b">
        <f>EXACT(Tabelle1[[#This Row],[Payload getCamIdentifikation (Wireshark) SOLL:]],Tabelle1[[#This Row],[Payload getCamIdentifikation (Wireshark) IST:]])</f>
        <v>0</v>
      </c>
      <c r="X38" s="9"/>
      <c r="Y38" s="9"/>
      <c r="Z38" s="9"/>
      <c r="AA38" s="9"/>
    </row>
    <row r="39" spans="1:27" x14ac:dyDescent="0.2">
      <c r="A39" s="9">
        <f t="shared" si="6"/>
        <v>38</v>
      </c>
      <c r="B39" s="10" t="s">
        <v>33</v>
      </c>
      <c r="C39" t="s">
        <v>32</v>
      </c>
      <c r="D39" s="2" t="s">
        <v>30</v>
      </c>
      <c r="E39">
        <v>24548571</v>
      </c>
      <c r="F39">
        <v>24548571</v>
      </c>
      <c r="G39" t="s">
        <v>31</v>
      </c>
      <c r="H39" t="s">
        <v>31</v>
      </c>
      <c r="I39">
        <v>4324548571</v>
      </c>
      <c r="J39" t="s">
        <v>48</v>
      </c>
      <c r="K39">
        <v>12685</v>
      </c>
      <c r="L39" s="9" t="str">
        <f t="shared" si="7"/>
        <v>98D3D2-00318D</v>
      </c>
      <c r="M39" s="9" t="str">
        <f t="shared" si="8"/>
        <v>98D3D200318D</v>
      </c>
      <c r="N39">
        <v>260515</v>
      </c>
      <c r="O39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24548571&amp;260515&amp;12685&amp;98D3D2-00318D&amp;B03</v>
      </c>
      <c r="P39" s="9"/>
      <c r="Q39" s="9" t="b">
        <f>EXACT(Tabelle1[[#This Row],[DMC Kamera SOLL:]],Tabelle1[[#This Row],[DMC Kamera IST:]])</f>
        <v>0</v>
      </c>
      <c r="R39" s="9" t="str">
        <f>"mac_address="&amp;Tabelle1[[#This Row],[MAC 2:]]&amp;"serial_nb=000"&amp;Tabelle1[[#This Row],[SNr.:]]&amp;"device_type="&amp;Tabelle1[[#This Row],[Devicetype:]]</f>
        <v>mac_address=98D3D200318Dserial_nb=00012685device_type=rcam_2</v>
      </c>
      <c r="S39" s="9"/>
      <c r="T39" s="9" t="b">
        <f>EXACT(Tabelle1[[#This Row],[Configuration String aus SOME/IP-SD SOLL:]],Tabelle1[[#This Row],[Configuration String aus SOME/IP-SD IST:]])</f>
        <v>0</v>
      </c>
      <c r="U39" s="9" t="str">
        <f>Tabelle1[[#This Row],[snpn:]]&amp;"000"&amp;Tabelle1[[#This Row],[SNr.:]]&amp;LOWER(Tabelle1[[#This Row],[MAC 2:]])</f>
        <v>43245485710001268598d3d200318d</v>
      </c>
      <c r="V39" s="9"/>
      <c r="W39" s="9" t="b">
        <f>EXACT(Tabelle1[[#This Row],[Payload getCamIdentifikation (Wireshark) SOLL:]],Tabelle1[[#This Row],[Payload getCamIdentifikation (Wireshark) IST:]])</f>
        <v>0</v>
      </c>
      <c r="X39" s="9"/>
      <c r="Y39" s="9"/>
      <c r="Z39" s="9"/>
      <c r="AA39" s="9"/>
    </row>
    <row r="40" spans="1:27" x14ac:dyDescent="0.2">
      <c r="A40" s="9">
        <f t="shared" si="6"/>
        <v>39</v>
      </c>
      <c r="B40" s="10" t="s">
        <v>33</v>
      </c>
      <c r="C40" t="s">
        <v>32</v>
      </c>
      <c r="D40" s="2" t="s">
        <v>30</v>
      </c>
      <c r="E40">
        <v>24548571</v>
      </c>
      <c r="F40">
        <v>24548571</v>
      </c>
      <c r="G40" t="s">
        <v>31</v>
      </c>
      <c r="H40" t="s">
        <v>31</v>
      </c>
      <c r="I40">
        <v>4324548571</v>
      </c>
      <c r="J40" t="s">
        <v>48</v>
      </c>
      <c r="K40">
        <v>12686</v>
      </c>
      <c r="L40" s="9" t="str">
        <f t="shared" si="7"/>
        <v>98D3D2-00318E</v>
      </c>
      <c r="M40" s="9" t="str">
        <f t="shared" si="8"/>
        <v>98D3D200318E</v>
      </c>
      <c r="N40">
        <v>260515</v>
      </c>
      <c r="O40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24548571&amp;260515&amp;12686&amp;98D3D2-00318E&amp;B03</v>
      </c>
      <c r="P40" s="9"/>
      <c r="Q40" s="9" t="b">
        <f>EXACT(Tabelle1[[#This Row],[DMC Kamera SOLL:]],Tabelle1[[#This Row],[DMC Kamera IST:]])</f>
        <v>0</v>
      </c>
      <c r="R40" s="9" t="str">
        <f>"mac_address="&amp;Tabelle1[[#This Row],[MAC 2:]]&amp;"serial_nb=000"&amp;Tabelle1[[#This Row],[SNr.:]]&amp;"device_type="&amp;Tabelle1[[#This Row],[Devicetype:]]</f>
        <v>mac_address=98D3D200318Eserial_nb=00012686device_type=rcam_2</v>
      </c>
      <c r="S40" s="9"/>
      <c r="T40" s="9" t="b">
        <f>EXACT(Tabelle1[[#This Row],[Configuration String aus SOME/IP-SD SOLL:]],Tabelle1[[#This Row],[Configuration String aus SOME/IP-SD IST:]])</f>
        <v>0</v>
      </c>
      <c r="U40" s="9" t="str">
        <f>Tabelle1[[#This Row],[snpn:]]&amp;"000"&amp;Tabelle1[[#This Row],[SNr.:]]&amp;LOWER(Tabelle1[[#This Row],[MAC 2:]])</f>
        <v>43245485710001268698d3d200318e</v>
      </c>
      <c r="V40" s="9"/>
      <c r="W40" s="9" t="b">
        <f>EXACT(Tabelle1[[#This Row],[Payload getCamIdentifikation (Wireshark) SOLL:]],Tabelle1[[#This Row],[Payload getCamIdentifikation (Wireshark) IST:]])</f>
        <v>0</v>
      </c>
      <c r="X40" s="9"/>
      <c r="Y40" s="9"/>
      <c r="Z40" s="9"/>
      <c r="AA40" s="9"/>
    </row>
    <row r="41" spans="1:27" x14ac:dyDescent="0.2">
      <c r="A41" s="9">
        <f t="shared" si="6"/>
        <v>40</v>
      </c>
      <c r="B41" s="10" t="s">
        <v>33</v>
      </c>
      <c r="C41" t="s">
        <v>32</v>
      </c>
      <c r="D41" s="2" t="s">
        <v>30</v>
      </c>
      <c r="E41">
        <v>24548571</v>
      </c>
      <c r="F41">
        <v>24548571</v>
      </c>
      <c r="G41" t="s">
        <v>31</v>
      </c>
      <c r="H41" t="s">
        <v>31</v>
      </c>
      <c r="I41">
        <v>4324548571</v>
      </c>
      <c r="J41" t="s">
        <v>48</v>
      </c>
      <c r="K41">
        <v>12687</v>
      </c>
      <c r="L41" s="9" t="str">
        <f t="shared" si="7"/>
        <v>98D3D2-00318F</v>
      </c>
      <c r="M41" s="9" t="str">
        <f t="shared" si="8"/>
        <v>98D3D200318F</v>
      </c>
      <c r="N41">
        <v>260515</v>
      </c>
      <c r="O41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24548571&amp;260515&amp;12687&amp;98D3D2-00318F&amp;B03</v>
      </c>
      <c r="P41" s="9"/>
      <c r="Q41" s="9" t="b">
        <f>EXACT(Tabelle1[[#This Row],[DMC Kamera SOLL:]],Tabelle1[[#This Row],[DMC Kamera IST:]])</f>
        <v>0</v>
      </c>
      <c r="R41" s="9" t="str">
        <f>"mac_address="&amp;Tabelle1[[#This Row],[MAC 2:]]&amp;"serial_nb=000"&amp;Tabelle1[[#This Row],[SNr.:]]&amp;"device_type="&amp;Tabelle1[[#This Row],[Devicetype:]]</f>
        <v>mac_address=98D3D200318Fserial_nb=00012687device_type=rcam_2</v>
      </c>
      <c r="S41" s="9"/>
      <c r="T41" s="9" t="b">
        <f>EXACT(Tabelle1[[#This Row],[Configuration String aus SOME/IP-SD SOLL:]],Tabelle1[[#This Row],[Configuration String aus SOME/IP-SD IST:]])</f>
        <v>0</v>
      </c>
      <c r="U41" s="9" t="str">
        <f>Tabelle1[[#This Row],[snpn:]]&amp;"000"&amp;Tabelle1[[#This Row],[SNr.:]]&amp;LOWER(Tabelle1[[#This Row],[MAC 2:]])</f>
        <v>43245485710001268798d3d200318f</v>
      </c>
      <c r="V41" s="9"/>
      <c r="W41" s="9" t="b">
        <f>EXACT(Tabelle1[[#This Row],[Payload getCamIdentifikation (Wireshark) SOLL:]],Tabelle1[[#This Row],[Payload getCamIdentifikation (Wireshark) IST:]])</f>
        <v>0</v>
      </c>
      <c r="X41" s="9"/>
      <c r="Y41" s="9"/>
      <c r="Z41" s="9"/>
      <c r="AA41" s="9"/>
    </row>
    <row r="42" spans="1:27" x14ac:dyDescent="0.2">
      <c r="A42" s="9">
        <f t="shared" si="6"/>
        <v>41</v>
      </c>
      <c r="B42" s="10" t="s">
        <v>33</v>
      </c>
      <c r="C42" t="s">
        <v>32</v>
      </c>
      <c r="D42" s="2" t="s">
        <v>30</v>
      </c>
      <c r="E42">
        <v>24548571</v>
      </c>
      <c r="F42">
        <v>24548571</v>
      </c>
      <c r="G42" t="s">
        <v>31</v>
      </c>
      <c r="H42" t="s">
        <v>31</v>
      </c>
      <c r="I42">
        <v>4324548571</v>
      </c>
      <c r="J42" t="s">
        <v>48</v>
      </c>
      <c r="K42">
        <v>12688</v>
      </c>
      <c r="L42" s="9" t="str">
        <f t="shared" si="7"/>
        <v>98D3D2-003190</v>
      </c>
      <c r="M42" s="9" t="str">
        <f t="shared" si="8"/>
        <v>98D3D2003190</v>
      </c>
      <c r="N42">
        <v>260515</v>
      </c>
      <c r="O42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24548571&amp;260515&amp;12688&amp;98D3D2-003190&amp;B03</v>
      </c>
      <c r="P42" s="9"/>
      <c r="Q42" s="9" t="b">
        <f>EXACT(Tabelle1[[#This Row],[DMC Kamera SOLL:]],Tabelle1[[#This Row],[DMC Kamera IST:]])</f>
        <v>0</v>
      </c>
      <c r="R42" s="9" t="str">
        <f>"mac_address="&amp;Tabelle1[[#This Row],[MAC 2:]]&amp;"serial_nb=000"&amp;Tabelle1[[#This Row],[SNr.:]]&amp;"device_type="&amp;Tabelle1[[#This Row],[Devicetype:]]</f>
        <v>mac_address=98D3D2003190serial_nb=00012688device_type=rcam_2</v>
      </c>
      <c r="S42" s="9"/>
      <c r="T42" s="9" t="b">
        <f>EXACT(Tabelle1[[#This Row],[Configuration String aus SOME/IP-SD SOLL:]],Tabelle1[[#This Row],[Configuration String aus SOME/IP-SD IST:]])</f>
        <v>0</v>
      </c>
      <c r="U42" s="9" t="str">
        <f>Tabelle1[[#This Row],[snpn:]]&amp;"000"&amp;Tabelle1[[#This Row],[SNr.:]]&amp;LOWER(Tabelle1[[#This Row],[MAC 2:]])</f>
        <v>43245485710001268898d3d2003190</v>
      </c>
      <c r="V42" s="9"/>
      <c r="W42" s="9" t="b">
        <f>EXACT(Tabelle1[[#This Row],[Payload getCamIdentifikation (Wireshark) SOLL:]],Tabelle1[[#This Row],[Payload getCamIdentifikation (Wireshark) IST:]])</f>
        <v>0</v>
      </c>
      <c r="X42" s="9"/>
      <c r="Y42" s="9"/>
      <c r="Z42" s="9"/>
      <c r="AA42" s="9"/>
    </row>
    <row r="43" spans="1:27" x14ac:dyDescent="0.2">
      <c r="A43" s="9">
        <f t="shared" si="6"/>
        <v>42</v>
      </c>
      <c r="B43" s="10" t="s">
        <v>33</v>
      </c>
      <c r="C43" t="s">
        <v>32</v>
      </c>
      <c r="D43" s="2" t="s">
        <v>30</v>
      </c>
      <c r="E43">
        <v>24548571</v>
      </c>
      <c r="F43">
        <v>24548571</v>
      </c>
      <c r="G43" t="s">
        <v>31</v>
      </c>
      <c r="H43" t="s">
        <v>31</v>
      </c>
      <c r="I43">
        <v>4324548571</v>
      </c>
      <c r="J43" t="s">
        <v>48</v>
      </c>
      <c r="K43">
        <v>12689</v>
      </c>
      <c r="L43" s="9" t="str">
        <f t="shared" si="7"/>
        <v>98D3D2-003191</v>
      </c>
      <c r="M43" s="9" t="str">
        <f t="shared" si="8"/>
        <v>98D3D2003191</v>
      </c>
      <c r="N43">
        <v>260515</v>
      </c>
      <c r="O43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24548571&amp;260515&amp;12689&amp;98D3D2-003191&amp;B03</v>
      </c>
      <c r="P43" s="9"/>
      <c r="Q43" s="9" t="b">
        <f>EXACT(Tabelle1[[#This Row],[DMC Kamera SOLL:]],Tabelle1[[#This Row],[DMC Kamera IST:]])</f>
        <v>0</v>
      </c>
      <c r="R43" s="9" t="str">
        <f>"mac_address="&amp;Tabelle1[[#This Row],[MAC 2:]]&amp;"serial_nb=000"&amp;Tabelle1[[#This Row],[SNr.:]]&amp;"device_type="&amp;Tabelle1[[#This Row],[Devicetype:]]</f>
        <v>mac_address=98D3D2003191serial_nb=00012689device_type=rcam_2</v>
      </c>
      <c r="S43" s="9"/>
      <c r="T43" s="9" t="b">
        <f>EXACT(Tabelle1[[#This Row],[Configuration String aus SOME/IP-SD SOLL:]],Tabelle1[[#This Row],[Configuration String aus SOME/IP-SD IST:]])</f>
        <v>0</v>
      </c>
      <c r="U43" s="9" t="str">
        <f>Tabelle1[[#This Row],[snpn:]]&amp;"000"&amp;Tabelle1[[#This Row],[SNr.:]]&amp;LOWER(Tabelle1[[#This Row],[MAC 2:]])</f>
        <v>43245485710001268998d3d2003191</v>
      </c>
      <c r="V43" s="9"/>
      <c r="W43" s="9" t="b">
        <f>EXACT(Tabelle1[[#This Row],[Payload getCamIdentifikation (Wireshark) SOLL:]],Tabelle1[[#This Row],[Payload getCamIdentifikation (Wireshark) IST:]])</f>
        <v>0</v>
      </c>
      <c r="X43" s="9"/>
      <c r="Y43" s="9"/>
      <c r="Z43" s="9"/>
      <c r="AA43" s="9"/>
    </row>
    <row r="44" spans="1:27" x14ac:dyDescent="0.2">
      <c r="A44" s="9">
        <f t="shared" si="6"/>
        <v>43</v>
      </c>
      <c r="B44" s="10" t="s">
        <v>33</v>
      </c>
      <c r="C44" t="s">
        <v>32</v>
      </c>
      <c r="D44" s="2" t="s">
        <v>30</v>
      </c>
      <c r="E44">
        <v>24548571</v>
      </c>
      <c r="F44">
        <v>24548571</v>
      </c>
      <c r="G44" t="s">
        <v>31</v>
      </c>
      <c r="H44" t="s">
        <v>31</v>
      </c>
      <c r="I44">
        <v>4324548571</v>
      </c>
      <c r="J44" t="s">
        <v>48</v>
      </c>
      <c r="K44">
        <v>12690</v>
      </c>
      <c r="L44" s="9" t="str">
        <f t="shared" si="7"/>
        <v>98D3D2-003192</v>
      </c>
      <c r="M44" s="9" t="str">
        <f t="shared" si="8"/>
        <v>98D3D2003192</v>
      </c>
      <c r="N44">
        <v>260515</v>
      </c>
      <c r="O44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24548571&amp;260515&amp;12690&amp;98D3D2-003192&amp;B03</v>
      </c>
      <c r="P44" s="9"/>
      <c r="Q44" s="9" t="b">
        <f>EXACT(Tabelle1[[#This Row],[DMC Kamera SOLL:]],Tabelle1[[#This Row],[DMC Kamera IST:]])</f>
        <v>0</v>
      </c>
      <c r="R44" s="9" t="str">
        <f>"mac_address="&amp;Tabelle1[[#This Row],[MAC 2:]]&amp;"serial_nb=000"&amp;Tabelle1[[#This Row],[SNr.:]]&amp;"device_type="&amp;Tabelle1[[#This Row],[Devicetype:]]</f>
        <v>mac_address=98D3D2003192serial_nb=00012690device_type=rcam_2</v>
      </c>
      <c r="S44" s="9"/>
      <c r="T44" s="9" t="b">
        <f>EXACT(Tabelle1[[#This Row],[Configuration String aus SOME/IP-SD SOLL:]],Tabelle1[[#This Row],[Configuration String aus SOME/IP-SD IST:]])</f>
        <v>0</v>
      </c>
      <c r="U44" s="9" t="str">
        <f>Tabelle1[[#This Row],[snpn:]]&amp;"000"&amp;Tabelle1[[#This Row],[SNr.:]]&amp;LOWER(Tabelle1[[#This Row],[MAC 2:]])</f>
        <v>43245485710001269098d3d2003192</v>
      </c>
      <c r="V44" s="9"/>
      <c r="W44" s="9" t="b">
        <f>EXACT(Tabelle1[[#This Row],[Payload getCamIdentifikation (Wireshark) SOLL:]],Tabelle1[[#This Row],[Payload getCamIdentifikation (Wireshark) IST:]])</f>
        <v>0</v>
      </c>
      <c r="X44" s="9"/>
      <c r="Y44" s="9"/>
      <c r="Z44" s="9"/>
      <c r="AA44" s="9"/>
    </row>
    <row r="45" spans="1:27" x14ac:dyDescent="0.2">
      <c r="A45" s="9">
        <f t="shared" si="6"/>
        <v>44</v>
      </c>
      <c r="B45" s="10" t="s">
        <v>33</v>
      </c>
      <c r="C45" t="s">
        <v>32</v>
      </c>
      <c r="D45" s="2" t="s">
        <v>30</v>
      </c>
      <c r="E45">
        <v>24548571</v>
      </c>
      <c r="F45">
        <v>24548571</v>
      </c>
      <c r="G45" t="s">
        <v>31</v>
      </c>
      <c r="H45" t="s">
        <v>31</v>
      </c>
      <c r="I45">
        <v>4324548571</v>
      </c>
      <c r="J45" t="s">
        <v>48</v>
      </c>
      <c r="K45">
        <v>12691</v>
      </c>
      <c r="L45" s="9" t="str">
        <f t="shared" si="7"/>
        <v>98D3D2-003193</v>
      </c>
      <c r="M45" s="9" t="str">
        <f t="shared" si="8"/>
        <v>98D3D2003193</v>
      </c>
      <c r="N45">
        <v>260515</v>
      </c>
      <c r="O45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24548571&amp;260515&amp;12691&amp;98D3D2-003193&amp;B03</v>
      </c>
      <c r="P45" s="9"/>
      <c r="Q45" s="9" t="b">
        <f>EXACT(Tabelle1[[#This Row],[DMC Kamera SOLL:]],Tabelle1[[#This Row],[DMC Kamera IST:]])</f>
        <v>0</v>
      </c>
      <c r="R45" s="9" t="str">
        <f>"mac_address="&amp;Tabelle1[[#This Row],[MAC 2:]]&amp;"serial_nb=000"&amp;Tabelle1[[#This Row],[SNr.:]]&amp;"device_type="&amp;Tabelle1[[#This Row],[Devicetype:]]</f>
        <v>mac_address=98D3D2003193serial_nb=00012691device_type=rcam_2</v>
      </c>
      <c r="S45" s="9"/>
      <c r="T45" s="9" t="b">
        <f>EXACT(Tabelle1[[#This Row],[Configuration String aus SOME/IP-SD SOLL:]],Tabelle1[[#This Row],[Configuration String aus SOME/IP-SD IST:]])</f>
        <v>0</v>
      </c>
      <c r="U45" s="9" t="str">
        <f>Tabelle1[[#This Row],[snpn:]]&amp;"000"&amp;Tabelle1[[#This Row],[SNr.:]]&amp;LOWER(Tabelle1[[#This Row],[MAC 2:]])</f>
        <v>43245485710001269198d3d2003193</v>
      </c>
      <c r="V45" s="9"/>
      <c r="W45" s="9" t="b">
        <f>EXACT(Tabelle1[[#This Row],[Payload getCamIdentifikation (Wireshark) SOLL:]],Tabelle1[[#This Row],[Payload getCamIdentifikation (Wireshark) IST:]])</f>
        <v>0</v>
      </c>
      <c r="X45" s="9"/>
      <c r="Y45" s="9"/>
      <c r="Z45" s="9"/>
      <c r="AA45" s="9"/>
    </row>
    <row r="46" spans="1:27" x14ac:dyDescent="0.2">
      <c r="A46" s="9">
        <f t="shared" si="6"/>
        <v>45</v>
      </c>
      <c r="B46" s="10" t="s">
        <v>33</v>
      </c>
      <c r="C46" t="s">
        <v>32</v>
      </c>
      <c r="D46" s="2" t="s">
        <v>30</v>
      </c>
      <c r="E46">
        <v>24548571</v>
      </c>
      <c r="F46">
        <v>24548571</v>
      </c>
      <c r="G46" t="s">
        <v>31</v>
      </c>
      <c r="H46" t="s">
        <v>31</v>
      </c>
      <c r="I46">
        <v>4324548571</v>
      </c>
      <c r="J46" t="s">
        <v>48</v>
      </c>
      <c r="K46">
        <v>12692</v>
      </c>
      <c r="L46" s="9" t="str">
        <f t="shared" si="7"/>
        <v>98D3D2-003194</v>
      </c>
      <c r="M46" s="9" t="str">
        <f t="shared" si="8"/>
        <v>98D3D2003194</v>
      </c>
      <c r="N46">
        <v>260515</v>
      </c>
      <c r="O46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24548571&amp;260515&amp;12692&amp;98D3D2-003194&amp;B03</v>
      </c>
      <c r="P46" s="9"/>
      <c r="Q46" s="9" t="b">
        <f>EXACT(Tabelle1[[#This Row],[DMC Kamera SOLL:]],Tabelle1[[#This Row],[DMC Kamera IST:]])</f>
        <v>0</v>
      </c>
      <c r="R46" s="9" t="str">
        <f>"mac_address="&amp;Tabelle1[[#This Row],[MAC 2:]]&amp;"serial_nb=000"&amp;Tabelle1[[#This Row],[SNr.:]]&amp;"device_type="&amp;Tabelle1[[#This Row],[Devicetype:]]</f>
        <v>mac_address=98D3D2003194serial_nb=00012692device_type=rcam_2</v>
      </c>
      <c r="S46" s="9"/>
      <c r="T46" s="9" t="b">
        <f>EXACT(Tabelle1[[#This Row],[Configuration String aus SOME/IP-SD SOLL:]],Tabelle1[[#This Row],[Configuration String aus SOME/IP-SD IST:]])</f>
        <v>0</v>
      </c>
      <c r="U46" s="9" t="str">
        <f>Tabelle1[[#This Row],[snpn:]]&amp;"000"&amp;Tabelle1[[#This Row],[SNr.:]]&amp;LOWER(Tabelle1[[#This Row],[MAC 2:]])</f>
        <v>43245485710001269298d3d2003194</v>
      </c>
      <c r="V46" s="9"/>
      <c r="W46" s="9" t="b">
        <f>EXACT(Tabelle1[[#This Row],[Payload getCamIdentifikation (Wireshark) SOLL:]],Tabelle1[[#This Row],[Payload getCamIdentifikation (Wireshark) IST:]])</f>
        <v>0</v>
      </c>
      <c r="X46" s="9"/>
      <c r="Y46" s="9"/>
      <c r="Z46" s="9"/>
      <c r="AA46" s="9"/>
    </row>
    <row r="47" spans="1:27" x14ac:dyDescent="0.2">
      <c r="A47" s="9">
        <f t="shared" si="6"/>
        <v>46</v>
      </c>
      <c r="B47" s="10" t="s">
        <v>33</v>
      </c>
      <c r="C47" t="s">
        <v>32</v>
      </c>
      <c r="D47" s="2" t="s">
        <v>30</v>
      </c>
      <c r="E47">
        <v>24548571</v>
      </c>
      <c r="F47">
        <v>24548571</v>
      </c>
      <c r="G47" t="s">
        <v>31</v>
      </c>
      <c r="H47" t="s">
        <v>31</v>
      </c>
      <c r="I47">
        <v>4324548571</v>
      </c>
      <c r="J47" t="s">
        <v>48</v>
      </c>
      <c r="K47">
        <v>12693</v>
      </c>
      <c r="L47" s="9" t="str">
        <f t="shared" si="7"/>
        <v>98D3D2-003195</v>
      </c>
      <c r="M47" s="9" t="str">
        <f t="shared" si="8"/>
        <v>98D3D2003195</v>
      </c>
      <c r="N47">
        <v>260515</v>
      </c>
      <c r="O47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24548571&amp;260515&amp;12693&amp;98D3D2-003195&amp;B03</v>
      </c>
      <c r="P47" s="9"/>
      <c r="Q47" s="9" t="b">
        <f>EXACT(Tabelle1[[#This Row],[DMC Kamera SOLL:]],Tabelle1[[#This Row],[DMC Kamera IST:]])</f>
        <v>0</v>
      </c>
      <c r="R47" s="9" t="str">
        <f>"mac_address="&amp;Tabelle1[[#This Row],[MAC 2:]]&amp;"serial_nb=000"&amp;Tabelle1[[#This Row],[SNr.:]]&amp;"device_type="&amp;Tabelle1[[#This Row],[Devicetype:]]</f>
        <v>mac_address=98D3D2003195serial_nb=00012693device_type=rcam_2</v>
      </c>
      <c r="S47" s="9"/>
      <c r="T47" s="9" t="b">
        <f>EXACT(Tabelle1[[#This Row],[Configuration String aus SOME/IP-SD SOLL:]],Tabelle1[[#This Row],[Configuration String aus SOME/IP-SD IST:]])</f>
        <v>0</v>
      </c>
      <c r="U47" s="9" t="str">
        <f>Tabelle1[[#This Row],[snpn:]]&amp;"000"&amp;Tabelle1[[#This Row],[SNr.:]]&amp;LOWER(Tabelle1[[#This Row],[MAC 2:]])</f>
        <v>43245485710001269398d3d2003195</v>
      </c>
      <c r="V47" s="9"/>
      <c r="W47" s="9" t="b">
        <f>EXACT(Tabelle1[[#This Row],[Payload getCamIdentifikation (Wireshark) SOLL:]],Tabelle1[[#This Row],[Payload getCamIdentifikation (Wireshark) IST:]])</f>
        <v>0</v>
      </c>
      <c r="X47" s="9"/>
      <c r="Y47" s="9"/>
      <c r="Z47" s="9"/>
      <c r="AA47" s="9"/>
    </row>
    <row r="48" spans="1:27" x14ac:dyDescent="0.2">
      <c r="A48" s="9">
        <f t="shared" si="6"/>
        <v>47</v>
      </c>
      <c r="B48" s="10" t="s">
        <v>33</v>
      </c>
      <c r="C48" t="s">
        <v>32</v>
      </c>
      <c r="D48" s="2" t="s">
        <v>30</v>
      </c>
      <c r="E48">
        <v>24548571</v>
      </c>
      <c r="F48">
        <v>24548571</v>
      </c>
      <c r="G48" t="s">
        <v>31</v>
      </c>
      <c r="H48" t="s">
        <v>31</v>
      </c>
      <c r="I48">
        <v>4324548571</v>
      </c>
      <c r="J48" t="s">
        <v>48</v>
      </c>
      <c r="K48">
        <v>12694</v>
      </c>
      <c r="L48" s="9" t="str">
        <f t="shared" si="7"/>
        <v>98D3D2-003196</v>
      </c>
      <c r="M48" s="9" t="str">
        <f t="shared" si="8"/>
        <v>98D3D2003196</v>
      </c>
      <c r="N48">
        <v>260515</v>
      </c>
      <c r="O48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24548571&amp;260515&amp;12694&amp;98D3D2-003196&amp;B03</v>
      </c>
      <c r="P48" s="9"/>
      <c r="Q48" s="9" t="b">
        <f>EXACT(Tabelle1[[#This Row],[DMC Kamera SOLL:]],Tabelle1[[#This Row],[DMC Kamera IST:]])</f>
        <v>0</v>
      </c>
      <c r="R48" s="9" t="str">
        <f>"mac_address="&amp;Tabelle1[[#This Row],[MAC 2:]]&amp;"serial_nb=000"&amp;Tabelle1[[#This Row],[SNr.:]]&amp;"device_type="&amp;Tabelle1[[#This Row],[Devicetype:]]</f>
        <v>mac_address=98D3D2003196serial_nb=00012694device_type=rcam_2</v>
      </c>
      <c r="S48" s="9"/>
      <c r="T48" s="9" t="b">
        <f>EXACT(Tabelle1[[#This Row],[Configuration String aus SOME/IP-SD SOLL:]],Tabelle1[[#This Row],[Configuration String aus SOME/IP-SD IST:]])</f>
        <v>0</v>
      </c>
      <c r="U48" s="9" t="str">
        <f>Tabelle1[[#This Row],[snpn:]]&amp;"000"&amp;Tabelle1[[#This Row],[SNr.:]]&amp;LOWER(Tabelle1[[#This Row],[MAC 2:]])</f>
        <v>43245485710001269498d3d2003196</v>
      </c>
      <c r="V48" s="9"/>
      <c r="W48" s="9" t="b">
        <f>EXACT(Tabelle1[[#This Row],[Payload getCamIdentifikation (Wireshark) SOLL:]],Tabelle1[[#This Row],[Payload getCamIdentifikation (Wireshark) IST:]])</f>
        <v>0</v>
      </c>
      <c r="X48" s="9"/>
      <c r="Y48" s="9"/>
      <c r="Z48" s="9"/>
      <c r="AA48" s="9"/>
    </row>
    <row r="49" spans="1:27" x14ac:dyDescent="0.2">
      <c r="A49" s="9">
        <f t="shared" si="6"/>
        <v>48</v>
      </c>
      <c r="B49" s="10" t="s">
        <v>33</v>
      </c>
      <c r="C49" t="s">
        <v>32</v>
      </c>
      <c r="D49" s="2" t="s">
        <v>30</v>
      </c>
      <c r="E49">
        <v>24548571</v>
      </c>
      <c r="F49">
        <v>24548571</v>
      </c>
      <c r="G49" t="s">
        <v>31</v>
      </c>
      <c r="H49" t="s">
        <v>31</v>
      </c>
      <c r="I49">
        <v>4324548571</v>
      </c>
      <c r="J49" t="s">
        <v>48</v>
      </c>
      <c r="K49">
        <v>12695</v>
      </c>
      <c r="L49" s="9" t="str">
        <f t="shared" si="7"/>
        <v>98D3D2-003197</v>
      </c>
      <c r="M49" s="9" t="str">
        <f t="shared" si="8"/>
        <v>98D3D2003197</v>
      </c>
      <c r="N49">
        <v>260515</v>
      </c>
      <c r="O49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24548571&amp;260515&amp;12695&amp;98D3D2-003197&amp;B03</v>
      </c>
      <c r="P49" s="9"/>
      <c r="Q49" s="9" t="b">
        <f>EXACT(Tabelle1[[#This Row],[DMC Kamera SOLL:]],Tabelle1[[#This Row],[DMC Kamera IST:]])</f>
        <v>0</v>
      </c>
      <c r="R49" s="9" t="str">
        <f>"mac_address="&amp;Tabelle1[[#This Row],[MAC 2:]]&amp;"serial_nb=000"&amp;Tabelle1[[#This Row],[SNr.:]]&amp;"device_type="&amp;Tabelle1[[#This Row],[Devicetype:]]</f>
        <v>mac_address=98D3D2003197serial_nb=00012695device_type=rcam_2</v>
      </c>
      <c r="S49" s="9"/>
      <c r="T49" s="9" t="b">
        <f>EXACT(Tabelle1[[#This Row],[Configuration String aus SOME/IP-SD SOLL:]],Tabelle1[[#This Row],[Configuration String aus SOME/IP-SD IST:]])</f>
        <v>0</v>
      </c>
      <c r="U49" s="9" t="str">
        <f>Tabelle1[[#This Row],[snpn:]]&amp;"000"&amp;Tabelle1[[#This Row],[SNr.:]]&amp;LOWER(Tabelle1[[#This Row],[MAC 2:]])</f>
        <v>43245485710001269598d3d2003197</v>
      </c>
      <c r="V49" s="9"/>
      <c r="W49" s="9" t="b">
        <f>EXACT(Tabelle1[[#This Row],[Payload getCamIdentifikation (Wireshark) SOLL:]],Tabelle1[[#This Row],[Payload getCamIdentifikation (Wireshark) IST:]])</f>
        <v>0</v>
      </c>
      <c r="X49" s="9"/>
      <c r="Y49" s="9"/>
      <c r="Z49" s="9"/>
      <c r="AA49" s="9"/>
    </row>
    <row r="50" spans="1:27" x14ac:dyDescent="0.2">
      <c r="A50" s="9">
        <f t="shared" si="6"/>
        <v>49</v>
      </c>
      <c r="B50" s="10" t="s">
        <v>33</v>
      </c>
      <c r="C50" t="s">
        <v>32</v>
      </c>
      <c r="D50" s="2" t="s">
        <v>30</v>
      </c>
      <c r="E50">
        <v>24548571</v>
      </c>
      <c r="F50">
        <v>24548571</v>
      </c>
      <c r="G50" t="s">
        <v>31</v>
      </c>
      <c r="H50" t="s">
        <v>31</v>
      </c>
      <c r="I50">
        <v>4324548571</v>
      </c>
      <c r="J50" t="s">
        <v>48</v>
      </c>
      <c r="K50">
        <v>12696</v>
      </c>
      <c r="L50" s="9" t="str">
        <f t="shared" si="7"/>
        <v>98D3D2-003198</v>
      </c>
      <c r="M50" s="9" t="str">
        <f t="shared" si="8"/>
        <v>98D3D2003198</v>
      </c>
      <c r="N50">
        <v>260515</v>
      </c>
      <c r="O50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24548571&amp;260515&amp;12696&amp;98D3D2-003198&amp;B03</v>
      </c>
      <c r="P50" s="9"/>
      <c r="Q50" s="9" t="b">
        <f>EXACT(Tabelle1[[#This Row],[DMC Kamera SOLL:]],Tabelle1[[#This Row],[DMC Kamera IST:]])</f>
        <v>0</v>
      </c>
      <c r="R50" s="9" t="str">
        <f>"mac_address="&amp;Tabelle1[[#This Row],[MAC 2:]]&amp;"serial_nb=000"&amp;Tabelle1[[#This Row],[SNr.:]]&amp;"device_type="&amp;Tabelle1[[#This Row],[Devicetype:]]</f>
        <v>mac_address=98D3D2003198serial_nb=00012696device_type=rcam_2</v>
      </c>
      <c r="S50" s="9"/>
      <c r="T50" s="9" t="b">
        <f>EXACT(Tabelle1[[#This Row],[Configuration String aus SOME/IP-SD SOLL:]],Tabelle1[[#This Row],[Configuration String aus SOME/IP-SD IST:]])</f>
        <v>0</v>
      </c>
      <c r="U50" s="9" t="str">
        <f>Tabelle1[[#This Row],[snpn:]]&amp;"000"&amp;Tabelle1[[#This Row],[SNr.:]]&amp;LOWER(Tabelle1[[#This Row],[MAC 2:]])</f>
        <v>43245485710001269698d3d2003198</v>
      </c>
      <c r="V50" s="9"/>
      <c r="W50" s="9" t="b">
        <f>EXACT(Tabelle1[[#This Row],[Payload getCamIdentifikation (Wireshark) SOLL:]],Tabelle1[[#This Row],[Payload getCamIdentifikation (Wireshark) IST:]])</f>
        <v>0</v>
      </c>
      <c r="X50" s="9"/>
      <c r="Y50" s="9"/>
      <c r="Z50" s="9"/>
      <c r="AA50" s="9"/>
    </row>
    <row r="51" spans="1:27" x14ac:dyDescent="0.2">
      <c r="A51" s="9">
        <f t="shared" si="6"/>
        <v>50</v>
      </c>
      <c r="B51" s="10" t="s">
        <v>33</v>
      </c>
      <c r="C51" t="s">
        <v>32</v>
      </c>
      <c r="D51" s="2" t="s">
        <v>30</v>
      </c>
      <c r="E51">
        <v>24548571</v>
      </c>
      <c r="F51">
        <v>24548571</v>
      </c>
      <c r="G51" t="s">
        <v>31</v>
      </c>
      <c r="H51" t="s">
        <v>31</v>
      </c>
      <c r="I51">
        <v>4324548571</v>
      </c>
      <c r="J51" t="s">
        <v>48</v>
      </c>
      <c r="K51">
        <v>12697</v>
      </c>
      <c r="L51" s="9" t="str">
        <f t="shared" si="7"/>
        <v>98D3D2-003199</v>
      </c>
      <c r="M51" s="9" t="str">
        <f t="shared" si="8"/>
        <v>98D3D2003199</v>
      </c>
      <c r="N51">
        <v>260515</v>
      </c>
      <c r="O51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24548571&amp;260515&amp;12697&amp;98D3D2-003199&amp;B03</v>
      </c>
      <c r="P51" s="9"/>
      <c r="Q51" s="9" t="b">
        <f>EXACT(Tabelle1[[#This Row],[DMC Kamera SOLL:]],Tabelle1[[#This Row],[DMC Kamera IST:]])</f>
        <v>0</v>
      </c>
      <c r="R51" s="9" t="str">
        <f>"mac_address="&amp;Tabelle1[[#This Row],[MAC 2:]]&amp;"serial_nb=000"&amp;Tabelle1[[#This Row],[SNr.:]]&amp;"device_type="&amp;Tabelle1[[#This Row],[Devicetype:]]</f>
        <v>mac_address=98D3D2003199serial_nb=00012697device_type=rcam_2</v>
      </c>
      <c r="S51" s="9"/>
      <c r="T51" s="9" t="b">
        <f>EXACT(Tabelle1[[#This Row],[Configuration String aus SOME/IP-SD SOLL:]],Tabelle1[[#This Row],[Configuration String aus SOME/IP-SD IST:]])</f>
        <v>0</v>
      </c>
      <c r="U51" s="9" t="str">
        <f>Tabelle1[[#This Row],[snpn:]]&amp;"000"&amp;Tabelle1[[#This Row],[SNr.:]]&amp;LOWER(Tabelle1[[#This Row],[MAC 2:]])</f>
        <v>43245485710001269798d3d2003199</v>
      </c>
      <c r="V51" s="9"/>
      <c r="W51" s="9" t="b">
        <f>EXACT(Tabelle1[[#This Row],[Payload getCamIdentifikation (Wireshark) SOLL:]],Tabelle1[[#This Row],[Payload getCamIdentifikation (Wireshark) IST:]])</f>
        <v>0</v>
      </c>
      <c r="X51" s="9"/>
      <c r="Y51" s="9"/>
      <c r="Z51" s="9"/>
      <c r="AA51" s="9"/>
    </row>
    <row r="52" spans="1:27" x14ac:dyDescent="0.2">
      <c r="A52" s="9">
        <f t="shared" si="6"/>
        <v>51</v>
      </c>
      <c r="B52" s="10" t="s">
        <v>33</v>
      </c>
      <c r="C52" t="s">
        <v>32</v>
      </c>
      <c r="D52" s="2" t="s">
        <v>30</v>
      </c>
      <c r="E52">
        <v>24548571</v>
      </c>
      <c r="F52">
        <v>24548571</v>
      </c>
      <c r="G52" t="s">
        <v>31</v>
      </c>
      <c r="H52" t="s">
        <v>31</v>
      </c>
      <c r="I52">
        <v>4324548571</v>
      </c>
      <c r="J52" t="s">
        <v>48</v>
      </c>
      <c r="K52">
        <v>12698</v>
      </c>
      <c r="L52" s="9" t="str">
        <f t="shared" si="7"/>
        <v>98D3D2-00319A</v>
      </c>
      <c r="M52" s="9" t="str">
        <f t="shared" si="8"/>
        <v>98D3D200319A</v>
      </c>
      <c r="N52">
        <v>260515</v>
      </c>
      <c r="O52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24548571&amp;260515&amp;12698&amp;98D3D2-00319A&amp;B03</v>
      </c>
      <c r="P52" s="9"/>
      <c r="Q52" s="9" t="b">
        <f>EXACT(Tabelle1[[#This Row],[DMC Kamera SOLL:]],Tabelle1[[#This Row],[DMC Kamera IST:]])</f>
        <v>0</v>
      </c>
      <c r="R52" s="9" t="str">
        <f>"mac_address="&amp;Tabelle1[[#This Row],[MAC 2:]]&amp;"serial_nb=000"&amp;Tabelle1[[#This Row],[SNr.:]]&amp;"device_type="&amp;Tabelle1[[#This Row],[Devicetype:]]</f>
        <v>mac_address=98D3D200319Aserial_nb=00012698device_type=rcam_2</v>
      </c>
      <c r="S52" s="9"/>
      <c r="T52" s="9" t="b">
        <f>EXACT(Tabelle1[[#This Row],[Configuration String aus SOME/IP-SD SOLL:]],Tabelle1[[#This Row],[Configuration String aus SOME/IP-SD IST:]])</f>
        <v>0</v>
      </c>
      <c r="U52" s="9" t="str">
        <f>Tabelle1[[#This Row],[snpn:]]&amp;"000"&amp;Tabelle1[[#This Row],[SNr.:]]&amp;LOWER(Tabelle1[[#This Row],[MAC 2:]])</f>
        <v>43245485710001269898d3d200319a</v>
      </c>
      <c r="V52" s="9"/>
      <c r="W52" s="9" t="b">
        <f>EXACT(Tabelle1[[#This Row],[Payload getCamIdentifikation (Wireshark) SOLL:]],Tabelle1[[#This Row],[Payload getCamIdentifikation (Wireshark) IST:]])</f>
        <v>0</v>
      </c>
      <c r="X52" s="9"/>
      <c r="Y52" s="9"/>
      <c r="Z52" s="9"/>
      <c r="AA52" s="9"/>
    </row>
    <row r="53" spans="1:27" x14ac:dyDescent="0.2">
      <c r="A53" s="9">
        <f t="shared" si="6"/>
        <v>52</v>
      </c>
      <c r="B53" s="10" t="s">
        <v>33</v>
      </c>
      <c r="C53" t="s">
        <v>32</v>
      </c>
      <c r="D53" s="2" t="s">
        <v>30</v>
      </c>
      <c r="E53">
        <v>24548571</v>
      </c>
      <c r="F53">
        <v>24548571</v>
      </c>
      <c r="G53" t="s">
        <v>31</v>
      </c>
      <c r="H53" t="s">
        <v>31</v>
      </c>
      <c r="I53">
        <v>4324548571</v>
      </c>
      <c r="J53" t="s">
        <v>48</v>
      </c>
      <c r="K53">
        <v>12699</v>
      </c>
      <c r="L53" s="9" t="str">
        <f t="shared" si="7"/>
        <v>98D3D2-00319B</v>
      </c>
      <c r="M53" s="9" t="str">
        <f t="shared" si="8"/>
        <v>98D3D200319B</v>
      </c>
      <c r="N53">
        <v>260515</v>
      </c>
      <c r="O53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24548571&amp;260515&amp;12699&amp;98D3D2-00319B&amp;B03</v>
      </c>
      <c r="P53" s="9"/>
      <c r="Q53" s="9" t="b">
        <f>EXACT(Tabelle1[[#This Row],[DMC Kamera SOLL:]],Tabelle1[[#This Row],[DMC Kamera IST:]])</f>
        <v>0</v>
      </c>
      <c r="R53" s="9" t="str">
        <f>"mac_address="&amp;Tabelle1[[#This Row],[MAC 2:]]&amp;"serial_nb=000"&amp;Tabelle1[[#This Row],[SNr.:]]&amp;"device_type="&amp;Tabelle1[[#This Row],[Devicetype:]]</f>
        <v>mac_address=98D3D200319Bserial_nb=00012699device_type=rcam_2</v>
      </c>
      <c r="S53" s="9"/>
      <c r="T53" s="9" t="b">
        <f>EXACT(Tabelle1[[#This Row],[Configuration String aus SOME/IP-SD SOLL:]],Tabelle1[[#This Row],[Configuration String aus SOME/IP-SD IST:]])</f>
        <v>0</v>
      </c>
      <c r="U53" s="9" t="str">
        <f>Tabelle1[[#This Row],[snpn:]]&amp;"000"&amp;Tabelle1[[#This Row],[SNr.:]]&amp;LOWER(Tabelle1[[#This Row],[MAC 2:]])</f>
        <v>43245485710001269998d3d200319b</v>
      </c>
      <c r="V53" s="9"/>
      <c r="W53" s="9" t="b">
        <f>EXACT(Tabelle1[[#This Row],[Payload getCamIdentifikation (Wireshark) SOLL:]],Tabelle1[[#This Row],[Payload getCamIdentifikation (Wireshark) IST:]])</f>
        <v>0</v>
      </c>
      <c r="X53" s="9"/>
      <c r="Y53" s="9"/>
      <c r="Z53" s="9"/>
      <c r="AA53" s="9"/>
    </row>
    <row r="54" spans="1:27" x14ac:dyDescent="0.2">
      <c r="A54" s="9">
        <f t="shared" si="6"/>
        <v>53</v>
      </c>
      <c r="B54" s="10" t="s">
        <v>33</v>
      </c>
      <c r="C54" t="s">
        <v>32</v>
      </c>
      <c r="D54" s="2" t="s">
        <v>30</v>
      </c>
      <c r="E54">
        <v>24548571</v>
      </c>
      <c r="F54">
        <v>24548571</v>
      </c>
      <c r="G54" t="s">
        <v>31</v>
      </c>
      <c r="H54" t="s">
        <v>31</v>
      </c>
      <c r="I54">
        <v>4324548571</v>
      </c>
      <c r="J54" t="s">
        <v>48</v>
      </c>
      <c r="K54">
        <v>12700</v>
      </c>
      <c r="L54" s="9" t="str">
        <f t="shared" si="7"/>
        <v>98D3D2-00319C</v>
      </c>
      <c r="M54" s="9" t="str">
        <f t="shared" si="8"/>
        <v>98D3D200319C</v>
      </c>
      <c r="N54">
        <v>260515</v>
      </c>
      <c r="O54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24548571&amp;260515&amp;12700&amp;98D3D2-00319C&amp;B03</v>
      </c>
      <c r="P54" s="9"/>
      <c r="Q54" s="9" t="b">
        <f>EXACT(Tabelle1[[#This Row],[DMC Kamera SOLL:]],Tabelle1[[#This Row],[DMC Kamera IST:]])</f>
        <v>0</v>
      </c>
      <c r="R54" s="9" t="str">
        <f>"mac_address="&amp;Tabelle1[[#This Row],[MAC 2:]]&amp;"serial_nb=000"&amp;Tabelle1[[#This Row],[SNr.:]]&amp;"device_type="&amp;Tabelle1[[#This Row],[Devicetype:]]</f>
        <v>mac_address=98D3D200319Cserial_nb=00012700device_type=rcam_2</v>
      </c>
      <c r="S54" s="9"/>
      <c r="T54" s="9" t="b">
        <f>EXACT(Tabelle1[[#This Row],[Configuration String aus SOME/IP-SD SOLL:]],Tabelle1[[#This Row],[Configuration String aus SOME/IP-SD IST:]])</f>
        <v>0</v>
      </c>
      <c r="U54" s="9" t="str">
        <f>Tabelle1[[#This Row],[snpn:]]&amp;"000"&amp;Tabelle1[[#This Row],[SNr.:]]&amp;LOWER(Tabelle1[[#This Row],[MAC 2:]])</f>
        <v>43245485710001270098d3d200319c</v>
      </c>
      <c r="V54" s="9"/>
      <c r="W54" s="9" t="b">
        <f>EXACT(Tabelle1[[#This Row],[Payload getCamIdentifikation (Wireshark) SOLL:]],Tabelle1[[#This Row],[Payload getCamIdentifikation (Wireshark) IST:]])</f>
        <v>0</v>
      </c>
      <c r="X54" s="9"/>
      <c r="Y54" s="9"/>
      <c r="Z54" s="9"/>
      <c r="AA54" s="9"/>
    </row>
    <row r="55" spans="1:27" x14ac:dyDescent="0.2">
      <c r="A55" s="9">
        <f t="shared" si="6"/>
        <v>54</v>
      </c>
      <c r="B55" s="10" t="s">
        <v>33</v>
      </c>
      <c r="C55" t="s">
        <v>32</v>
      </c>
      <c r="D55" s="2" t="s">
        <v>30</v>
      </c>
      <c r="E55">
        <v>24548571</v>
      </c>
      <c r="F55">
        <v>24548571</v>
      </c>
      <c r="G55" t="s">
        <v>31</v>
      </c>
      <c r="H55" t="s">
        <v>31</v>
      </c>
      <c r="I55">
        <v>4324548571</v>
      </c>
      <c r="J55" t="s">
        <v>48</v>
      </c>
      <c r="K55">
        <v>12702</v>
      </c>
      <c r="L55" s="9" t="str">
        <f t="shared" si="7"/>
        <v>98D3D2-00319E</v>
      </c>
      <c r="M55" s="9" t="str">
        <f t="shared" si="8"/>
        <v>98D3D200319E</v>
      </c>
      <c r="N55">
        <v>260515</v>
      </c>
      <c r="O55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24548571&amp;260515&amp;12702&amp;98D3D2-00319E&amp;B03</v>
      </c>
      <c r="P55" s="9"/>
      <c r="Q55" s="9" t="b">
        <f>EXACT(Tabelle1[[#This Row],[DMC Kamera SOLL:]],Tabelle1[[#This Row],[DMC Kamera IST:]])</f>
        <v>0</v>
      </c>
      <c r="R55" s="9" t="str">
        <f>"mac_address="&amp;Tabelle1[[#This Row],[MAC 2:]]&amp;"serial_nb=000"&amp;Tabelle1[[#This Row],[SNr.:]]&amp;"device_type="&amp;Tabelle1[[#This Row],[Devicetype:]]</f>
        <v>mac_address=98D3D200319Eserial_nb=00012702device_type=rcam_2</v>
      </c>
      <c r="S55" s="9"/>
      <c r="T55" s="9" t="b">
        <f>EXACT(Tabelle1[[#This Row],[Configuration String aus SOME/IP-SD SOLL:]],Tabelle1[[#This Row],[Configuration String aus SOME/IP-SD IST:]])</f>
        <v>0</v>
      </c>
      <c r="U55" s="9" t="str">
        <f>Tabelle1[[#This Row],[snpn:]]&amp;"000"&amp;Tabelle1[[#This Row],[SNr.:]]&amp;LOWER(Tabelle1[[#This Row],[MAC 2:]])</f>
        <v>43245485710001270298d3d200319e</v>
      </c>
      <c r="V55" s="9"/>
      <c r="W55" s="9" t="b">
        <f>EXACT(Tabelle1[[#This Row],[Payload getCamIdentifikation (Wireshark) SOLL:]],Tabelle1[[#This Row],[Payload getCamIdentifikation (Wireshark) IST:]])</f>
        <v>0</v>
      </c>
      <c r="X55" s="9"/>
      <c r="Y55" s="9"/>
      <c r="Z55" s="9"/>
      <c r="AA55" s="9"/>
    </row>
    <row r="56" spans="1:27" x14ac:dyDescent="0.2">
      <c r="A56" s="9">
        <f t="shared" si="6"/>
        <v>55</v>
      </c>
      <c r="B56" s="10" t="s">
        <v>33</v>
      </c>
      <c r="C56" t="s">
        <v>32</v>
      </c>
      <c r="D56" s="2" t="s">
        <v>30</v>
      </c>
      <c r="E56">
        <v>24548571</v>
      </c>
      <c r="F56">
        <v>24548571</v>
      </c>
      <c r="G56" t="s">
        <v>31</v>
      </c>
      <c r="H56" t="s">
        <v>31</v>
      </c>
      <c r="I56">
        <v>4324548571</v>
      </c>
      <c r="J56" t="s">
        <v>48</v>
      </c>
      <c r="K56">
        <v>12703</v>
      </c>
      <c r="L56" s="9" t="str">
        <f t="shared" si="7"/>
        <v>98D3D2-00319F</v>
      </c>
      <c r="M56" s="9" t="str">
        <f t="shared" si="8"/>
        <v>98D3D200319F</v>
      </c>
      <c r="N56">
        <v>260515</v>
      </c>
      <c r="O56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24548571&amp;260515&amp;12703&amp;98D3D2-00319F&amp;B03</v>
      </c>
      <c r="P56" s="9"/>
      <c r="Q56" s="9" t="b">
        <f>EXACT(Tabelle1[[#This Row],[DMC Kamera SOLL:]],Tabelle1[[#This Row],[DMC Kamera IST:]])</f>
        <v>0</v>
      </c>
      <c r="R56" s="9" t="str">
        <f>"mac_address="&amp;Tabelle1[[#This Row],[MAC 2:]]&amp;"serial_nb=000"&amp;Tabelle1[[#This Row],[SNr.:]]&amp;"device_type="&amp;Tabelle1[[#This Row],[Devicetype:]]</f>
        <v>mac_address=98D3D200319Fserial_nb=00012703device_type=rcam_2</v>
      </c>
      <c r="S56" s="9"/>
      <c r="T56" s="9" t="b">
        <f>EXACT(Tabelle1[[#This Row],[Configuration String aus SOME/IP-SD SOLL:]],Tabelle1[[#This Row],[Configuration String aus SOME/IP-SD IST:]])</f>
        <v>0</v>
      </c>
      <c r="U56" s="9" t="str">
        <f>Tabelle1[[#This Row],[snpn:]]&amp;"000"&amp;Tabelle1[[#This Row],[SNr.:]]&amp;LOWER(Tabelle1[[#This Row],[MAC 2:]])</f>
        <v>43245485710001270398d3d200319f</v>
      </c>
      <c r="V56" s="9"/>
      <c r="W56" s="9" t="b">
        <f>EXACT(Tabelle1[[#This Row],[Payload getCamIdentifikation (Wireshark) SOLL:]],Tabelle1[[#This Row],[Payload getCamIdentifikation (Wireshark) IST:]])</f>
        <v>0</v>
      </c>
      <c r="X56" s="9"/>
      <c r="Y56" s="9"/>
      <c r="Z56" s="9"/>
      <c r="AA56" s="9"/>
    </row>
    <row r="57" spans="1:27" x14ac:dyDescent="0.2">
      <c r="A57" s="9">
        <f t="shared" si="6"/>
        <v>56</v>
      </c>
      <c r="B57" s="10" t="s">
        <v>33</v>
      </c>
      <c r="C57" t="s">
        <v>32</v>
      </c>
      <c r="D57" s="2" t="s">
        <v>30</v>
      </c>
      <c r="E57">
        <v>24548571</v>
      </c>
      <c r="F57">
        <v>24548571</v>
      </c>
      <c r="G57" t="s">
        <v>31</v>
      </c>
      <c r="H57" t="s">
        <v>31</v>
      </c>
      <c r="I57">
        <v>4324548571</v>
      </c>
      <c r="J57" t="s">
        <v>48</v>
      </c>
      <c r="K57">
        <v>12704</v>
      </c>
      <c r="L57" s="9" t="str">
        <f t="shared" si="7"/>
        <v>98D3D2-0031A0</v>
      </c>
      <c r="M57" s="9" t="str">
        <f t="shared" si="8"/>
        <v>98D3D20031A0</v>
      </c>
      <c r="N57">
        <v>260515</v>
      </c>
      <c r="O57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24548571&amp;260515&amp;12704&amp;98D3D2-0031A0&amp;B03</v>
      </c>
      <c r="P57" s="9"/>
      <c r="Q57" s="9" t="b">
        <f>EXACT(Tabelle1[[#This Row],[DMC Kamera SOLL:]],Tabelle1[[#This Row],[DMC Kamera IST:]])</f>
        <v>0</v>
      </c>
      <c r="R57" s="9" t="str">
        <f>"mac_address="&amp;Tabelle1[[#This Row],[MAC 2:]]&amp;"serial_nb=000"&amp;Tabelle1[[#This Row],[SNr.:]]&amp;"device_type="&amp;Tabelle1[[#This Row],[Devicetype:]]</f>
        <v>mac_address=98D3D20031A0serial_nb=00012704device_type=rcam_2</v>
      </c>
      <c r="S57" s="9"/>
      <c r="T57" s="9" t="b">
        <f>EXACT(Tabelle1[[#This Row],[Configuration String aus SOME/IP-SD SOLL:]],Tabelle1[[#This Row],[Configuration String aus SOME/IP-SD IST:]])</f>
        <v>0</v>
      </c>
      <c r="U57" s="9" t="str">
        <f>Tabelle1[[#This Row],[snpn:]]&amp;"000"&amp;Tabelle1[[#This Row],[SNr.:]]&amp;LOWER(Tabelle1[[#This Row],[MAC 2:]])</f>
        <v>43245485710001270498d3d20031a0</v>
      </c>
      <c r="V57" s="9"/>
      <c r="W57" s="9" t="b">
        <f>EXACT(Tabelle1[[#This Row],[Payload getCamIdentifikation (Wireshark) SOLL:]],Tabelle1[[#This Row],[Payload getCamIdentifikation (Wireshark) IST:]])</f>
        <v>0</v>
      </c>
      <c r="X57" s="9"/>
      <c r="Y57" s="9"/>
      <c r="Z57" s="9"/>
      <c r="AA57" s="9"/>
    </row>
    <row r="58" spans="1:27" x14ac:dyDescent="0.2">
      <c r="A58" s="9">
        <f t="shared" si="6"/>
        <v>57</v>
      </c>
      <c r="B58" s="10" t="s">
        <v>33</v>
      </c>
      <c r="C58" t="s">
        <v>32</v>
      </c>
      <c r="D58" s="2" t="s">
        <v>30</v>
      </c>
      <c r="E58">
        <v>24548571</v>
      </c>
      <c r="F58">
        <v>24548571</v>
      </c>
      <c r="G58" t="s">
        <v>31</v>
      </c>
      <c r="H58" t="s">
        <v>31</v>
      </c>
      <c r="I58">
        <v>4324548571</v>
      </c>
      <c r="J58" t="s">
        <v>48</v>
      </c>
      <c r="K58">
        <v>12705</v>
      </c>
      <c r="L58" s="9" t="str">
        <f t="shared" si="7"/>
        <v>98D3D2-0031A1</v>
      </c>
      <c r="M58" s="9" t="str">
        <f t="shared" si="8"/>
        <v>98D3D20031A1</v>
      </c>
      <c r="N58">
        <v>260515</v>
      </c>
      <c r="O58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24548571&amp;260515&amp;12705&amp;98D3D2-0031A1&amp;B03</v>
      </c>
      <c r="P58" s="9"/>
      <c r="Q58" s="9" t="b">
        <f>EXACT(Tabelle1[[#This Row],[DMC Kamera SOLL:]],Tabelle1[[#This Row],[DMC Kamera IST:]])</f>
        <v>0</v>
      </c>
      <c r="R58" s="9" t="str">
        <f>"mac_address="&amp;Tabelle1[[#This Row],[MAC 2:]]&amp;"serial_nb=000"&amp;Tabelle1[[#This Row],[SNr.:]]&amp;"device_type="&amp;Tabelle1[[#This Row],[Devicetype:]]</f>
        <v>mac_address=98D3D20031A1serial_nb=00012705device_type=rcam_2</v>
      </c>
      <c r="S58" s="9"/>
      <c r="T58" s="9" t="b">
        <f>EXACT(Tabelle1[[#This Row],[Configuration String aus SOME/IP-SD SOLL:]],Tabelle1[[#This Row],[Configuration String aus SOME/IP-SD IST:]])</f>
        <v>0</v>
      </c>
      <c r="U58" s="9" t="str">
        <f>Tabelle1[[#This Row],[snpn:]]&amp;"000"&amp;Tabelle1[[#This Row],[SNr.:]]&amp;LOWER(Tabelle1[[#This Row],[MAC 2:]])</f>
        <v>43245485710001270598d3d20031a1</v>
      </c>
      <c r="V58" s="9"/>
      <c r="W58" s="9" t="b">
        <f>EXACT(Tabelle1[[#This Row],[Payload getCamIdentifikation (Wireshark) SOLL:]],Tabelle1[[#This Row],[Payload getCamIdentifikation (Wireshark) IST:]])</f>
        <v>0</v>
      </c>
      <c r="X58" s="9"/>
      <c r="Y58" s="9"/>
      <c r="Z58" s="9"/>
      <c r="AA58" s="9"/>
    </row>
    <row r="59" spans="1:27" x14ac:dyDescent="0.2">
      <c r="A59" s="9">
        <f t="shared" si="6"/>
        <v>58</v>
      </c>
      <c r="B59" s="10" t="s">
        <v>33</v>
      </c>
      <c r="C59" t="s">
        <v>32</v>
      </c>
      <c r="D59" s="2" t="s">
        <v>30</v>
      </c>
      <c r="E59">
        <v>24548571</v>
      </c>
      <c r="F59">
        <v>24548571</v>
      </c>
      <c r="G59" t="s">
        <v>31</v>
      </c>
      <c r="H59" t="s">
        <v>31</v>
      </c>
      <c r="I59">
        <v>4324548571</v>
      </c>
      <c r="J59" t="s">
        <v>48</v>
      </c>
      <c r="K59">
        <v>12706</v>
      </c>
      <c r="L59" s="9" t="str">
        <f t="shared" si="7"/>
        <v>98D3D2-0031A2</v>
      </c>
      <c r="M59" s="9" t="str">
        <f t="shared" si="8"/>
        <v>98D3D20031A2</v>
      </c>
      <c r="N59">
        <v>260515</v>
      </c>
      <c r="O59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24548571&amp;260515&amp;12706&amp;98D3D2-0031A2&amp;B03</v>
      </c>
      <c r="P59" s="9"/>
      <c r="Q59" s="9" t="b">
        <f>EXACT(Tabelle1[[#This Row],[DMC Kamera SOLL:]],Tabelle1[[#This Row],[DMC Kamera IST:]])</f>
        <v>0</v>
      </c>
      <c r="R59" s="9" t="str">
        <f>"mac_address="&amp;Tabelle1[[#This Row],[MAC 2:]]&amp;"serial_nb=000"&amp;Tabelle1[[#This Row],[SNr.:]]&amp;"device_type="&amp;Tabelle1[[#This Row],[Devicetype:]]</f>
        <v>mac_address=98D3D20031A2serial_nb=00012706device_type=rcam_2</v>
      </c>
      <c r="S59" s="9"/>
      <c r="T59" s="9" t="b">
        <f>EXACT(Tabelle1[[#This Row],[Configuration String aus SOME/IP-SD SOLL:]],Tabelle1[[#This Row],[Configuration String aus SOME/IP-SD IST:]])</f>
        <v>0</v>
      </c>
      <c r="U59" s="9" t="str">
        <f>Tabelle1[[#This Row],[snpn:]]&amp;"000"&amp;Tabelle1[[#This Row],[SNr.:]]&amp;LOWER(Tabelle1[[#This Row],[MAC 2:]])</f>
        <v>43245485710001270698d3d20031a2</v>
      </c>
      <c r="V59" s="9"/>
      <c r="W59" s="9" t="b">
        <f>EXACT(Tabelle1[[#This Row],[Payload getCamIdentifikation (Wireshark) SOLL:]],Tabelle1[[#This Row],[Payload getCamIdentifikation (Wireshark) IST:]])</f>
        <v>0</v>
      </c>
      <c r="X59" s="9"/>
      <c r="Y59" s="9"/>
      <c r="Z59" s="9"/>
      <c r="AA59" s="9"/>
    </row>
    <row r="60" spans="1:27" x14ac:dyDescent="0.2">
      <c r="A60" s="9">
        <f t="shared" si="6"/>
        <v>59</v>
      </c>
      <c r="B60" s="10" t="s">
        <v>33</v>
      </c>
      <c r="C60" t="s">
        <v>32</v>
      </c>
      <c r="D60" s="2" t="s">
        <v>30</v>
      </c>
      <c r="E60">
        <v>24548571</v>
      </c>
      <c r="F60">
        <v>24548571</v>
      </c>
      <c r="G60" t="s">
        <v>31</v>
      </c>
      <c r="H60" t="s">
        <v>31</v>
      </c>
      <c r="I60">
        <v>4324548571</v>
      </c>
      <c r="J60" t="s">
        <v>48</v>
      </c>
      <c r="K60">
        <v>12707</v>
      </c>
      <c r="L60" s="9" t="str">
        <f t="shared" si="7"/>
        <v>98D3D2-0031A3</v>
      </c>
      <c r="M60" s="9" t="str">
        <f t="shared" si="8"/>
        <v>98D3D20031A3</v>
      </c>
      <c r="N60">
        <v>260515</v>
      </c>
      <c r="O60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24548571&amp;260515&amp;12707&amp;98D3D2-0031A3&amp;B03</v>
      </c>
      <c r="P60" s="9"/>
      <c r="Q60" s="9" t="b">
        <f>EXACT(Tabelle1[[#This Row],[DMC Kamera SOLL:]],Tabelle1[[#This Row],[DMC Kamera IST:]])</f>
        <v>0</v>
      </c>
      <c r="R60" s="9" t="str">
        <f>"mac_address="&amp;Tabelle1[[#This Row],[MAC 2:]]&amp;"serial_nb=000"&amp;Tabelle1[[#This Row],[SNr.:]]&amp;"device_type="&amp;Tabelle1[[#This Row],[Devicetype:]]</f>
        <v>mac_address=98D3D20031A3serial_nb=00012707device_type=rcam_2</v>
      </c>
      <c r="S60" s="9"/>
      <c r="T60" s="9" t="b">
        <f>EXACT(Tabelle1[[#This Row],[Configuration String aus SOME/IP-SD SOLL:]],Tabelle1[[#This Row],[Configuration String aus SOME/IP-SD IST:]])</f>
        <v>0</v>
      </c>
      <c r="U60" s="9" t="str">
        <f>Tabelle1[[#This Row],[snpn:]]&amp;"000"&amp;Tabelle1[[#This Row],[SNr.:]]&amp;LOWER(Tabelle1[[#This Row],[MAC 2:]])</f>
        <v>43245485710001270798d3d20031a3</v>
      </c>
      <c r="V60" s="9"/>
      <c r="W60" s="9" t="b">
        <f>EXACT(Tabelle1[[#This Row],[Payload getCamIdentifikation (Wireshark) SOLL:]],Tabelle1[[#This Row],[Payload getCamIdentifikation (Wireshark) IST:]])</f>
        <v>0</v>
      </c>
      <c r="X60" s="9"/>
      <c r="Y60" s="9"/>
      <c r="Z60" s="9"/>
      <c r="AA60" s="9"/>
    </row>
    <row r="61" spans="1:27" x14ac:dyDescent="0.2">
      <c r="A61" s="9">
        <f t="shared" si="6"/>
        <v>60</v>
      </c>
      <c r="B61" s="10" t="s">
        <v>33</v>
      </c>
      <c r="C61" t="s">
        <v>32</v>
      </c>
      <c r="D61" s="2" t="s">
        <v>30</v>
      </c>
      <c r="E61">
        <v>24548571</v>
      </c>
      <c r="F61">
        <v>24548571</v>
      </c>
      <c r="G61" t="s">
        <v>31</v>
      </c>
      <c r="H61" t="s">
        <v>31</v>
      </c>
      <c r="I61">
        <v>4324548571</v>
      </c>
      <c r="J61" t="s">
        <v>48</v>
      </c>
      <c r="K61">
        <v>12708</v>
      </c>
      <c r="L61" s="9" t="str">
        <f t="shared" si="7"/>
        <v>98D3D2-0031A4</v>
      </c>
      <c r="M61" s="9" t="str">
        <f t="shared" si="8"/>
        <v>98D3D20031A4</v>
      </c>
      <c r="N61">
        <v>260515</v>
      </c>
      <c r="O61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24548571&amp;260515&amp;12708&amp;98D3D2-0031A4&amp;B03</v>
      </c>
      <c r="P61" s="9"/>
      <c r="Q61" s="9" t="b">
        <f>EXACT(Tabelle1[[#This Row],[DMC Kamera SOLL:]],Tabelle1[[#This Row],[DMC Kamera IST:]])</f>
        <v>0</v>
      </c>
      <c r="R61" s="9" t="str">
        <f>"mac_address="&amp;Tabelle1[[#This Row],[MAC 2:]]&amp;"serial_nb=000"&amp;Tabelle1[[#This Row],[SNr.:]]&amp;"device_type="&amp;Tabelle1[[#This Row],[Devicetype:]]</f>
        <v>mac_address=98D3D20031A4serial_nb=00012708device_type=rcam_2</v>
      </c>
      <c r="S61" s="9"/>
      <c r="T61" s="9" t="b">
        <f>EXACT(Tabelle1[[#This Row],[Configuration String aus SOME/IP-SD SOLL:]],Tabelle1[[#This Row],[Configuration String aus SOME/IP-SD IST:]])</f>
        <v>0</v>
      </c>
      <c r="U61" s="9" t="str">
        <f>Tabelle1[[#This Row],[snpn:]]&amp;"000"&amp;Tabelle1[[#This Row],[SNr.:]]&amp;LOWER(Tabelle1[[#This Row],[MAC 2:]])</f>
        <v>43245485710001270898d3d20031a4</v>
      </c>
      <c r="V61" s="9"/>
      <c r="W61" s="9" t="b">
        <f>EXACT(Tabelle1[[#This Row],[Payload getCamIdentifikation (Wireshark) SOLL:]],Tabelle1[[#This Row],[Payload getCamIdentifikation (Wireshark) IST:]])</f>
        <v>0</v>
      </c>
      <c r="X61" s="9"/>
      <c r="Y61" s="9"/>
      <c r="Z61" s="9"/>
      <c r="AA61" s="9"/>
    </row>
    <row r="62" spans="1:27" x14ac:dyDescent="0.2">
      <c r="A62" s="9">
        <f t="shared" si="6"/>
        <v>61</v>
      </c>
      <c r="B62" s="10" t="s">
        <v>33</v>
      </c>
      <c r="C62" t="s">
        <v>32</v>
      </c>
      <c r="D62" s="2" t="s">
        <v>30</v>
      </c>
      <c r="E62">
        <v>24548571</v>
      </c>
      <c r="F62">
        <v>24548571</v>
      </c>
      <c r="G62" t="s">
        <v>31</v>
      </c>
      <c r="H62" t="s">
        <v>31</v>
      </c>
      <c r="I62">
        <v>4324548571</v>
      </c>
      <c r="J62" t="s">
        <v>48</v>
      </c>
      <c r="K62">
        <v>12709</v>
      </c>
      <c r="L62" s="9" t="str">
        <f t="shared" si="7"/>
        <v>98D3D2-0031A5</v>
      </c>
      <c r="M62" s="9" t="str">
        <f t="shared" si="8"/>
        <v>98D3D20031A5</v>
      </c>
      <c r="N62">
        <v>260515</v>
      </c>
      <c r="O62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24548571&amp;260515&amp;12709&amp;98D3D2-0031A5&amp;B03</v>
      </c>
      <c r="P62" s="9"/>
      <c r="Q62" s="9" t="b">
        <f>EXACT(Tabelle1[[#This Row],[DMC Kamera SOLL:]],Tabelle1[[#This Row],[DMC Kamera IST:]])</f>
        <v>0</v>
      </c>
      <c r="R62" s="9" t="str">
        <f>"mac_address="&amp;Tabelle1[[#This Row],[MAC 2:]]&amp;"serial_nb=000"&amp;Tabelle1[[#This Row],[SNr.:]]&amp;"device_type="&amp;Tabelle1[[#This Row],[Devicetype:]]</f>
        <v>mac_address=98D3D20031A5serial_nb=00012709device_type=rcam_2</v>
      </c>
      <c r="S62" s="9"/>
      <c r="T62" s="9" t="b">
        <f>EXACT(Tabelle1[[#This Row],[Configuration String aus SOME/IP-SD SOLL:]],Tabelle1[[#This Row],[Configuration String aus SOME/IP-SD IST:]])</f>
        <v>0</v>
      </c>
      <c r="U62" s="9" t="str">
        <f>Tabelle1[[#This Row],[snpn:]]&amp;"000"&amp;Tabelle1[[#This Row],[SNr.:]]&amp;LOWER(Tabelle1[[#This Row],[MAC 2:]])</f>
        <v>43245485710001270998d3d20031a5</v>
      </c>
      <c r="V62" s="9"/>
      <c r="W62" s="9" t="b">
        <f>EXACT(Tabelle1[[#This Row],[Payload getCamIdentifikation (Wireshark) SOLL:]],Tabelle1[[#This Row],[Payload getCamIdentifikation (Wireshark) IST:]])</f>
        <v>0</v>
      </c>
      <c r="X62" s="9"/>
      <c r="Y62" s="9"/>
      <c r="Z62" s="9"/>
      <c r="AA62" s="9"/>
    </row>
    <row r="63" spans="1:27" x14ac:dyDescent="0.2">
      <c r="A63" s="9">
        <f t="shared" si="6"/>
        <v>62</v>
      </c>
      <c r="B63" s="10" t="s">
        <v>33</v>
      </c>
      <c r="C63" t="s">
        <v>32</v>
      </c>
      <c r="D63" s="2" t="s">
        <v>30</v>
      </c>
      <c r="E63">
        <v>24548571</v>
      </c>
      <c r="F63">
        <v>24548571</v>
      </c>
      <c r="G63" t="s">
        <v>31</v>
      </c>
      <c r="H63" t="s">
        <v>31</v>
      </c>
      <c r="I63">
        <v>4324548571</v>
      </c>
      <c r="J63" t="s">
        <v>48</v>
      </c>
      <c r="K63">
        <v>12710</v>
      </c>
      <c r="L63" s="9" t="str">
        <f t="shared" si="7"/>
        <v>98D3D2-0031A6</v>
      </c>
      <c r="M63" s="9" t="str">
        <f t="shared" si="8"/>
        <v>98D3D20031A6</v>
      </c>
      <c r="N63">
        <v>260515</v>
      </c>
      <c r="O63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24548571&amp;260515&amp;12710&amp;98D3D2-0031A6&amp;B03</v>
      </c>
      <c r="P63" s="9"/>
      <c r="Q63" s="9" t="b">
        <f>EXACT(Tabelle1[[#This Row],[DMC Kamera SOLL:]],Tabelle1[[#This Row],[DMC Kamera IST:]])</f>
        <v>0</v>
      </c>
      <c r="R63" s="9" t="str">
        <f>"mac_address="&amp;Tabelle1[[#This Row],[MAC 2:]]&amp;"serial_nb=000"&amp;Tabelle1[[#This Row],[SNr.:]]&amp;"device_type="&amp;Tabelle1[[#This Row],[Devicetype:]]</f>
        <v>mac_address=98D3D20031A6serial_nb=00012710device_type=rcam_2</v>
      </c>
      <c r="S63" s="9"/>
      <c r="T63" s="9" t="b">
        <f>EXACT(Tabelle1[[#This Row],[Configuration String aus SOME/IP-SD SOLL:]],Tabelle1[[#This Row],[Configuration String aus SOME/IP-SD IST:]])</f>
        <v>0</v>
      </c>
      <c r="U63" s="9" t="str">
        <f>Tabelle1[[#This Row],[snpn:]]&amp;"000"&amp;Tabelle1[[#This Row],[SNr.:]]&amp;LOWER(Tabelle1[[#This Row],[MAC 2:]])</f>
        <v>43245485710001271098d3d20031a6</v>
      </c>
      <c r="V63" s="9"/>
      <c r="W63" s="9" t="b">
        <f>EXACT(Tabelle1[[#This Row],[Payload getCamIdentifikation (Wireshark) SOLL:]],Tabelle1[[#This Row],[Payload getCamIdentifikation (Wireshark) IST:]])</f>
        <v>0</v>
      </c>
      <c r="X63" s="9"/>
      <c r="Y63" s="9"/>
      <c r="Z63" s="9"/>
      <c r="AA63" s="9"/>
    </row>
    <row r="64" spans="1:27" x14ac:dyDescent="0.2">
      <c r="A64" s="9">
        <f t="shared" si="6"/>
        <v>63</v>
      </c>
      <c r="B64" s="10" t="s">
        <v>33</v>
      </c>
      <c r="C64" t="s">
        <v>32</v>
      </c>
      <c r="D64" s="2" t="s">
        <v>30</v>
      </c>
      <c r="E64">
        <v>24548571</v>
      </c>
      <c r="F64">
        <v>24548571</v>
      </c>
      <c r="G64" t="s">
        <v>31</v>
      </c>
      <c r="H64" t="s">
        <v>31</v>
      </c>
      <c r="I64">
        <v>4324548571</v>
      </c>
      <c r="J64" t="s">
        <v>48</v>
      </c>
      <c r="K64">
        <v>12711</v>
      </c>
      <c r="L64" s="9" t="str">
        <f t="shared" si="7"/>
        <v>98D3D2-0031A7</v>
      </c>
      <c r="M64" s="9" t="str">
        <f t="shared" si="8"/>
        <v>98D3D20031A7</v>
      </c>
      <c r="N64">
        <v>260515</v>
      </c>
      <c r="O64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24548571&amp;260515&amp;12711&amp;98D3D2-0031A7&amp;B03</v>
      </c>
      <c r="P64" s="9"/>
      <c r="Q64" s="9" t="b">
        <f>EXACT(Tabelle1[[#This Row],[DMC Kamera SOLL:]],Tabelle1[[#This Row],[DMC Kamera IST:]])</f>
        <v>0</v>
      </c>
      <c r="R64" s="9" t="str">
        <f>"mac_address="&amp;Tabelle1[[#This Row],[MAC 2:]]&amp;"serial_nb=000"&amp;Tabelle1[[#This Row],[SNr.:]]&amp;"device_type="&amp;Tabelle1[[#This Row],[Devicetype:]]</f>
        <v>mac_address=98D3D20031A7serial_nb=00012711device_type=rcam_2</v>
      </c>
      <c r="S64" s="9"/>
      <c r="T64" s="9" t="b">
        <f>EXACT(Tabelle1[[#This Row],[Configuration String aus SOME/IP-SD SOLL:]],Tabelle1[[#This Row],[Configuration String aus SOME/IP-SD IST:]])</f>
        <v>0</v>
      </c>
      <c r="U64" s="9" t="str">
        <f>Tabelle1[[#This Row],[snpn:]]&amp;"000"&amp;Tabelle1[[#This Row],[SNr.:]]&amp;LOWER(Tabelle1[[#This Row],[MAC 2:]])</f>
        <v>43245485710001271198d3d20031a7</v>
      </c>
      <c r="V64" s="9"/>
      <c r="W64" s="9" t="b">
        <f>EXACT(Tabelle1[[#This Row],[Payload getCamIdentifikation (Wireshark) SOLL:]],Tabelle1[[#This Row],[Payload getCamIdentifikation (Wireshark) IST:]])</f>
        <v>0</v>
      </c>
      <c r="X64" s="9"/>
      <c r="Y64" s="9"/>
      <c r="Z64" s="9"/>
      <c r="AA64" s="9"/>
    </row>
    <row r="65" spans="1:27" x14ac:dyDescent="0.2">
      <c r="A65" s="9">
        <f t="shared" si="6"/>
        <v>64</v>
      </c>
      <c r="B65" s="10" t="s">
        <v>33</v>
      </c>
      <c r="C65" t="s">
        <v>32</v>
      </c>
      <c r="D65" s="2" t="s">
        <v>30</v>
      </c>
      <c r="E65">
        <v>24548571</v>
      </c>
      <c r="F65">
        <v>24548571</v>
      </c>
      <c r="G65" t="s">
        <v>31</v>
      </c>
      <c r="H65" t="s">
        <v>31</v>
      </c>
      <c r="I65">
        <v>4324548571</v>
      </c>
      <c r="J65" t="s">
        <v>48</v>
      </c>
      <c r="K65">
        <v>12712</v>
      </c>
      <c r="L65" s="9" t="str">
        <f t="shared" si="7"/>
        <v>98D3D2-0031A8</v>
      </c>
      <c r="M65" s="9" t="str">
        <f t="shared" si="8"/>
        <v>98D3D20031A8</v>
      </c>
      <c r="N65">
        <v>260515</v>
      </c>
      <c r="O65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24548571&amp;260515&amp;12712&amp;98D3D2-0031A8&amp;B03</v>
      </c>
      <c r="P65" s="9"/>
      <c r="Q65" s="9" t="b">
        <f>EXACT(Tabelle1[[#This Row],[DMC Kamera SOLL:]],Tabelle1[[#This Row],[DMC Kamera IST:]])</f>
        <v>0</v>
      </c>
      <c r="R65" s="9" t="str">
        <f>"mac_address="&amp;Tabelle1[[#This Row],[MAC 2:]]&amp;"serial_nb=000"&amp;Tabelle1[[#This Row],[SNr.:]]&amp;"device_type="&amp;Tabelle1[[#This Row],[Devicetype:]]</f>
        <v>mac_address=98D3D20031A8serial_nb=00012712device_type=rcam_2</v>
      </c>
      <c r="S65" s="9"/>
      <c r="T65" s="9" t="b">
        <f>EXACT(Tabelle1[[#This Row],[Configuration String aus SOME/IP-SD SOLL:]],Tabelle1[[#This Row],[Configuration String aus SOME/IP-SD IST:]])</f>
        <v>0</v>
      </c>
      <c r="U65" s="9" t="str">
        <f>Tabelle1[[#This Row],[snpn:]]&amp;"000"&amp;Tabelle1[[#This Row],[SNr.:]]&amp;LOWER(Tabelle1[[#This Row],[MAC 2:]])</f>
        <v>43245485710001271298d3d20031a8</v>
      </c>
      <c r="V65" s="9"/>
      <c r="W65" s="9" t="b">
        <f>EXACT(Tabelle1[[#This Row],[Payload getCamIdentifikation (Wireshark) SOLL:]],Tabelle1[[#This Row],[Payload getCamIdentifikation (Wireshark) IST:]])</f>
        <v>0</v>
      </c>
      <c r="X65" s="9"/>
      <c r="Y65" s="9"/>
      <c r="Z65" s="9"/>
      <c r="AA65" s="9"/>
    </row>
    <row r="66" spans="1:27" x14ac:dyDescent="0.2">
      <c r="A66" s="9">
        <f t="shared" si="6"/>
        <v>65</v>
      </c>
      <c r="B66" s="10" t="s">
        <v>33</v>
      </c>
      <c r="C66" t="s">
        <v>32</v>
      </c>
      <c r="D66" s="2" t="s">
        <v>30</v>
      </c>
      <c r="E66">
        <v>24548571</v>
      </c>
      <c r="F66">
        <v>24548571</v>
      </c>
      <c r="G66" t="s">
        <v>31</v>
      </c>
      <c r="H66" t="s">
        <v>31</v>
      </c>
      <c r="I66">
        <v>4324548571</v>
      </c>
      <c r="J66" t="s">
        <v>48</v>
      </c>
      <c r="K66">
        <v>12713</v>
      </c>
      <c r="L66" s="9" t="str">
        <f t="shared" si="7"/>
        <v>98D3D2-0031A9</v>
      </c>
      <c r="M66" s="9" t="str">
        <f t="shared" si="8"/>
        <v>98D3D20031A9</v>
      </c>
      <c r="N66">
        <v>260515</v>
      </c>
      <c r="O66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24548571&amp;260515&amp;12713&amp;98D3D2-0031A9&amp;B03</v>
      </c>
      <c r="P66" s="9"/>
      <c r="Q66" s="9" t="b">
        <f>EXACT(Tabelle1[[#This Row],[DMC Kamera SOLL:]],Tabelle1[[#This Row],[DMC Kamera IST:]])</f>
        <v>0</v>
      </c>
      <c r="R66" s="9" t="str">
        <f>"mac_address="&amp;Tabelle1[[#This Row],[MAC 2:]]&amp;"serial_nb=000"&amp;Tabelle1[[#This Row],[SNr.:]]&amp;"device_type="&amp;Tabelle1[[#This Row],[Devicetype:]]</f>
        <v>mac_address=98D3D20031A9serial_nb=00012713device_type=rcam_2</v>
      </c>
      <c r="S66" s="9"/>
      <c r="T66" s="9" t="b">
        <f>EXACT(Tabelle1[[#This Row],[Configuration String aus SOME/IP-SD SOLL:]],Tabelle1[[#This Row],[Configuration String aus SOME/IP-SD IST:]])</f>
        <v>0</v>
      </c>
      <c r="U66" s="9" t="str">
        <f>Tabelle1[[#This Row],[snpn:]]&amp;"000"&amp;Tabelle1[[#This Row],[SNr.:]]&amp;LOWER(Tabelle1[[#This Row],[MAC 2:]])</f>
        <v>43245485710001271398d3d20031a9</v>
      </c>
      <c r="V66" s="9"/>
      <c r="W66" s="9" t="b">
        <f>EXACT(Tabelle1[[#This Row],[Payload getCamIdentifikation (Wireshark) SOLL:]],Tabelle1[[#This Row],[Payload getCamIdentifikation (Wireshark) IST:]])</f>
        <v>0</v>
      </c>
      <c r="X66" s="9"/>
      <c r="Y66" s="9"/>
      <c r="Z66" s="9"/>
      <c r="AA66" s="9"/>
    </row>
    <row r="67" spans="1:27" x14ac:dyDescent="0.2">
      <c r="A67" s="9">
        <f t="shared" si="6"/>
        <v>66</v>
      </c>
      <c r="B67" s="10" t="s">
        <v>33</v>
      </c>
      <c r="C67" t="s">
        <v>32</v>
      </c>
      <c r="D67" s="2" t="s">
        <v>30</v>
      </c>
      <c r="E67">
        <v>24548571</v>
      </c>
      <c r="F67">
        <v>24548571</v>
      </c>
      <c r="G67" t="s">
        <v>31</v>
      </c>
      <c r="H67" t="s">
        <v>31</v>
      </c>
      <c r="I67">
        <v>4324548571</v>
      </c>
      <c r="J67" t="s">
        <v>48</v>
      </c>
      <c r="K67">
        <v>12714</v>
      </c>
      <c r="L67" s="9" t="str">
        <f t="shared" si="7"/>
        <v>98D3D2-0031AA</v>
      </c>
      <c r="M67" s="9" t="str">
        <f t="shared" si="8"/>
        <v>98D3D20031AA</v>
      </c>
      <c r="N67">
        <v>260515</v>
      </c>
      <c r="O67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24548571&amp;260515&amp;12714&amp;98D3D2-0031AA&amp;B03</v>
      </c>
      <c r="P67" s="9"/>
      <c r="Q67" s="9" t="b">
        <f>EXACT(Tabelle1[[#This Row],[DMC Kamera SOLL:]],Tabelle1[[#This Row],[DMC Kamera IST:]])</f>
        <v>0</v>
      </c>
      <c r="R67" s="9" t="str">
        <f>"mac_address="&amp;Tabelle1[[#This Row],[MAC 2:]]&amp;"serial_nb=000"&amp;Tabelle1[[#This Row],[SNr.:]]&amp;"device_type="&amp;Tabelle1[[#This Row],[Devicetype:]]</f>
        <v>mac_address=98D3D20031AAserial_nb=00012714device_type=rcam_2</v>
      </c>
      <c r="S67" s="9"/>
      <c r="T67" s="9" t="b">
        <f>EXACT(Tabelle1[[#This Row],[Configuration String aus SOME/IP-SD SOLL:]],Tabelle1[[#This Row],[Configuration String aus SOME/IP-SD IST:]])</f>
        <v>0</v>
      </c>
      <c r="U67" s="9" t="str">
        <f>Tabelle1[[#This Row],[snpn:]]&amp;"000"&amp;Tabelle1[[#This Row],[SNr.:]]&amp;LOWER(Tabelle1[[#This Row],[MAC 2:]])</f>
        <v>43245485710001271498d3d20031aa</v>
      </c>
      <c r="V67" s="9"/>
      <c r="W67" s="9" t="b">
        <f>EXACT(Tabelle1[[#This Row],[Payload getCamIdentifikation (Wireshark) SOLL:]],Tabelle1[[#This Row],[Payload getCamIdentifikation (Wireshark) IST:]])</f>
        <v>0</v>
      </c>
      <c r="X67" s="9"/>
      <c r="Y67" s="9"/>
      <c r="Z67" s="9"/>
      <c r="AA67" s="9"/>
    </row>
    <row r="68" spans="1:27" x14ac:dyDescent="0.2">
      <c r="A68" s="9">
        <f t="shared" si="6"/>
        <v>67</v>
      </c>
      <c r="B68" s="10" t="s">
        <v>33</v>
      </c>
      <c r="C68" t="s">
        <v>32</v>
      </c>
      <c r="D68" s="2" t="s">
        <v>30</v>
      </c>
      <c r="E68">
        <v>24548571</v>
      </c>
      <c r="F68">
        <v>24548571</v>
      </c>
      <c r="G68" t="s">
        <v>31</v>
      </c>
      <c r="H68" t="s">
        <v>31</v>
      </c>
      <c r="I68">
        <v>4324548571</v>
      </c>
      <c r="J68" t="s">
        <v>48</v>
      </c>
      <c r="K68">
        <v>12715</v>
      </c>
      <c r="L68" s="9" t="str">
        <f t="shared" si="7"/>
        <v>98D3D2-0031AB</v>
      </c>
      <c r="M68" s="9" t="str">
        <f t="shared" si="8"/>
        <v>98D3D20031AB</v>
      </c>
      <c r="N68">
        <v>260515</v>
      </c>
      <c r="O68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24548571&amp;260515&amp;12715&amp;98D3D2-0031AB&amp;B03</v>
      </c>
      <c r="P68" s="9"/>
      <c r="Q68" s="9" t="b">
        <f>EXACT(Tabelle1[[#This Row],[DMC Kamera SOLL:]],Tabelle1[[#This Row],[DMC Kamera IST:]])</f>
        <v>0</v>
      </c>
      <c r="R68" s="9" t="str">
        <f>"mac_address="&amp;Tabelle1[[#This Row],[MAC 2:]]&amp;"serial_nb=000"&amp;Tabelle1[[#This Row],[SNr.:]]&amp;"device_type="&amp;Tabelle1[[#This Row],[Devicetype:]]</f>
        <v>mac_address=98D3D20031ABserial_nb=00012715device_type=rcam_2</v>
      </c>
      <c r="S68" s="9"/>
      <c r="T68" s="9" t="b">
        <f>EXACT(Tabelle1[[#This Row],[Configuration String aus SOME/IP-SD SOLL:]],Tabelle1[[#This Row],[Configuration String aus SOME/IP-SD IST:]])</f>
        <v>0</v>
      </c>
      <c r="U68" s="9" t="str">
        <f>Tabelle1[[#This Row],[snpn:]]&amp;"000"&amp;Tabelle1[[#This Row],[SNr.:]]&amp;LOWER(Tabelle1[[#This Row],[MAC 2:]])</f>
        <v>43245485710001271598d3d20031ab</v>
      </c>
      <c r="V68" s="9"/>
      <c r="W68" s="9" t="b">
        <f>EXACT(Tabelle1[[#This Row],[Payload getCamIdentifikation (Wireshark) SOLL:]],Tabelle1[[#This Row],[Payload getCamIdentifikation (Wireshark) IST:]])</f>
        <v>0</v>
      </c>
      <c r="X68" s="9"/>
      <c r="Y68" s="9"/>
      <c r="Z68" s="9"/>
      <c r="AA68" s="9"/>
    </row>
    <row r="69" spans="1:27" x14ac:dyDescent="0.2">
      <c r="A69" s="9">
        <f t="shared" si="6"/>
        <v>68</v>
      </c>
      <c r="B69" s="10" t="s">
        <v>33</v>
      </c>
      <c r="C69" t="s">
        <v>32</v>
      </c>
      <c r="D69" s="2" t="s">
        <v>30</v>
      </c>
      <c r="E69">
        <v>24548571</v>
      </c>
      <c r="F69">
        <v>24548571</v>
      </c>
      <c r="G69" t="s">
        <v>31</v>
      </c>
      <c r="H69" t="s">
        <v>31</v>
      </c>
      <c r="I69">
        <v>4324548571</v>
      </c>
      <c r="J69" t="s">
        <v>48</v>
      </c>
      <c r="K69">
        <v>12716</v>
      </c>
      <c r="L69" s="9" t="str">
        <f t="shared" si="7"/>
        <v>98D3D2-0031AC</v>
      </c>
      <c r="M69" s="9" t="str">
        <f t="shared" si="8"/>
        <v>98D3D20031AC</v>
      </c>
      <c r="N69">
        <v>260515</v>
      </c>
      <c r="O69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24548571&amp;260515&amp;12716&amp;98D3D2-0031AC&amp;B03</v>
      </c>
      <c r="P69" s="9"/>
      <c r="Q69" s="9" t="b">
        <f>EXACT(Tabelle1[[#This Row],[DMC Kamera SOLL:]],Tabelle1[[#This Row],[DMC Kamera IST:]])</f>
        <v>0</v>
      </c>
      <c r="R69" s="9" t="str">
        <f>"mac_address="&amp;Tabelle1[[#This Row],[MAC 2:]]&amp;"serial_nb=000"&amp;Tabelle1[[#This Row],[SNr.:]]&amp;"device_type="&amp;Tabelle1[[#This Row],[Devicetype:]]</f>
        <v>mac_address=98D3D20031ACserial_nb=00012716device_type=rcam_2</v>
      </c>
      <c r="S69" s="9"/>
      <c r="T69" s="9" t="b">
        <f>EXACT(Tabelle1[[#This Row],[Configuration String aus SOME/IP-SD SOLL:]],Tabelle1[[#This Row],[Configuration String aus SOME/IP-SD IST:]])</f>
        <v>0</v>
      </c>
      <c r="U69" s="9" t="str">
        <f>Tabelle1[[#This Row],[snpn:]]&amp;"000"&amp;Tabelle1[[#This Row],[SNr.:]]&amp;LOWER(Tabelle1[[#This Row],[MAC 2:]])</f>
        <v>43245485710001271698d3d20031ac</v>
      </c>
      <c r="V69" s="9"/>
      <c r="W69" s="9" t="b">
        <f>EXACT(Tabelle1[[#This Row],[Payload getCamIdentifikation (Wireshark) SOLL:]],Tabelle1[[#This Row],[Payload getCamIdentifikation (Wireshark) IST:]])</f>
        <v>0</v>
      </c>
      <c r="X69" s="9"/>
      <c r="Y69" s="9"/>
      <c r="Z69" s="9"/>
      <c r="AA69" s="9"/>
    </row>
    <row r="70" spans="1:27" x14ac:dyDescent="0.2">
      <c r="A70" s="9">
        <f t="shared" si="6"/>
        <v>69</v>
      </c>
      <c r="B70" s="10" t="s">
        <v>33</v>
      </c>
      <c r="C70" t="s">
        <v>32</v>
      </c>
      <c r="D70" s="2" t="s">
        <v>30</v>
      </c>
      <c r="E70">
        <v>24548571</v>
      </c>
      <c r="F70">
        <v>24548571</v>
      </c>
      <c r="G70" t="s">
        <v>31</v>
      </c>
      <c r="H70" t="s">
        <v>31</v>
      </c>
      <c r="I70">
        <v>4324548571</v>
      </c>
      <c r="J70" t="s">
        <v>48</v>
      </c>
      <c r="K70">
        <v>12717</v>
      </c>
      <c r="L70" s="9" t="str">
        <f t="shared" si="7"/>
        <v>98D3D2-0031AD</v>
      </c>
      <c r="M70" s="9" t="str">
        <f t="shared" si="8"/>
        <v>98D3D20031AD</v>
      </c>
      <c r="N70">
        <v>260515</v>
      </c>
      <c r="O70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24548571&amp;260515&amp;12717&amp;98D3D2-0031AD&amp;B03</v>
      </c>
      <c r="P70" s="9"/>
      <c r="Q70" s="9" t="b">
        <f>EXACT(Tabelle1[[#This Row],[DMC Kamera SOLL:]],Tabelle1[[#This Row],[DMC Kamera IST:]])</f>
        <v>0</v>
      </c>
      <c r="R70" s="9" t="str">
        <f>"mac_address="&amp;Tabelle1[[#This Row],[MAC 2:]]&amp;"serial_nb=000"&amp;Tabelle1[[#This Row],[SNr.:]]&amp;"device_type="&amp;Tabelle1[[#This Row],[Devicetype:]]</f>
        <v>mac_address=98D3D20031ADserial_nb=00012717device_type=rcam_2</v>
      </c>
      <c r="S70" s="9"/>
      <c r="T70" s="9" t="b">
        <f>EXACT(Tabelle1[[#This Row],[Configuration String aus SOME/IP-SD SOLL:]],Tabelle1[[#This Row],[Configuration String aus SOME/IP-SD IST:]])</f>
        <v>0</v>
      </c>
      <c r="U70" s="9" t="str">
        <f>Tabelle1[[#This Row],[snpn:]]&amp;"000"&amp;Tabelle1[[#This Row],[SNr.:]]&amp;LOWER(Tabelle1[[#This Row],[MAC 2:]])</f>
        <v>43245485710001271798d3d20031ad</v>
      </c>
      <c r="V70" s="9"/>
      <c r="W70" s="9" t="b">
        <f>EXACT(Tabelle1[[#This Row],[Payload getCamIdentifikation (Wireshark) SOLL:]],Tabelle1[[#This Row],[Payload getCamIdentifikation (Wireshark) IST:]])</f>
        <v>0</v>
      </c>
      <c r="X70" s="9"/>
      <c r="Y70" s="9"/>
      <c r="Z70" s="9"/>
      <c r="AA70" s="9"/>
    </row>
    <row r="71" spans="1:27" x14ac:dyDescent="0.2">
      <c r="A71" s="9">
        <f t="shared" si="6"/>
        <v>70</v>
      </c>
      <c r="B71" s="10" t="s">
        <v>33</v>
      </c>
      <c r="C71" t="s">
        <v>32</v>
      </c>
      <c r="D71" s="2" t="s">
        <v>30</v>
      </c>
      <c r="E71">
        <v>24548571</v>
      </c>
      <c r="F71">
        <v>24548571</v>
      </c>
      <c r="G71" t="s">
        <v>31</v>
      </c>
      <c r="H71" t="s">
        <v>31</v>
      </c>
      <c r="I71">
        <v>4324548571</v>
      </c>
      <c r="J71" t="s">
        <v>48</v>
      </c>
      <c r="K71">
        <v>12718</v>
      </c>
      <c r="L71" s="9" t="str">
        <f t="shared" si="7"/>
        <v>98D3D2-0031AE</v>
      </c>
      <c r="M71" s="9" t="str">
        <f t="shared" si="8"/>
        <v>98D3D20031AE</v>
      </c>
      <c r="N71">
        <v>260515</v>
      </c>
      <c r="O71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24548571&amp;260515&amp;12718&amp;98D3D2-0031AE&amp;B03</v>
      </c>
      <c r="P71" s="9"/>
      <c r="Q71" s="9" t="b">
        <f>EXACT(Tabelle1[[#This Row],[DMC Kamera SOLL:]],Tabelle1[[#This Row],[DMC Kamera IST:]])</f>
        <v>0</v>
      </c>
      <c r="R71" s="9" t="str">
        <f>"mac_address="&amp;Tabelle1[[#This Row],[MAC 2:]]&amp;"serial_nb=000"&amp;Tabelle1[[#This Row],[SNr.:]]&amp;"device_type="&amp;Tabelle1[[#This Row],[Devicetype:]]</f>
        <v>mac_address=98D3D20031AEserial_nb=00012718device_type=rcam_2</v>
      </c>
      <c r="S71" s="9"/>
      <c r="T71" s="9" t="b">
        <f>EXACT(Tabelle1[[#This Row],[Configuration String aus SOME/IP-SD SOLL:]],Tabelle1[[#This Row],[Configuration String aus SOME/IP-SD IST:]])</f>
        <v>0</v>
      </c>
      <c r="U71" s="9" t="str">
        <f>Tabelle1[[#This Row],[snpn:]]&amp;"000"&amp;Tabelle1[[#This Row],[SNr.:]]&amp;LOWER(Tabelle1[[#This Row],[MAC 2:]])</f>
        <v>43245485710001271898d3d20031ae</v>
      </c>
      <c r="V71" s="9"/>
      <c r="W71" s="9" t="b">
        <f>EXACT(Tabelle1[[#This Row],[Payload getCamIdentifikation (Wireshark) SOLL:]],Tabelle1[[#This Row],[Payload getCamIdentifikation (Wireshark) IST:]])</f>
        <v>0</v>
      </c>
      <c r="X71" s="9"/>
      <c r="Y71" s="9"/>
      <c r="Z71" s="9"/>
      <c r="AA71" s="9"/>
    </row>
    <row r="72" spans="1:27" x14ac:dyDescent="0.2">
      <c r="A72" s="9">
        <f t="shared" si="6"/>
        <v>71</v>
      </c>
      <c r="B72" s="10" t="s">
        <v>33</v>
      </c>
      <c r="C72" t="s">
        <v>32</v>
      </c>
      <c r="D72" s="2" t="s">
        <v>30</v>
      </c>
      <c r="E72">
        <v>24548571</v>
      </c>
      <c r="F72">
        <v>24548571</v>
      </c>
      <c r="G72" t="s">
        <v>31</v>
      </c>
      <c r="H72" t="s">
        <v>31</v>
      </c>
      <c r="I72">
        <v>4324548571</v>
      </c>
      <c r="J72" t="s">
        <v>48</v>
      </c>
      <c r="K72">
        <v>12719</v>
      </c>
      <c r="L72" s="9" t="str">
        <f t="shared" si="7"/>
        <v>98D3D2-0031AF</v>
      </c>
      <c r="M72" s="9" t="str">
        <f t="shared" si="8"/>
        <v>98D3D20031AF</v>
      </c>
      <c r="N72">
        <v>260515</v>
      </c>
      <c r="O72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24548571&amp;260515&amp;12719&amp;98D3D2-0031AF&amp;B03</v>
      </c>
      <c r="P72" s="9"/>
      <c r="Q72" s="9" t="b">
        <f>EXACT(Tabelle1[[#This Row],[DMC Kamera SOLL:]],Tabelle1[[#This Row],[DMC Kamera IST:]])</f>
        <v>0</v>
      </c>
      <c r="R72" s="9" t="str">
        <f>"mac_address="&amp;Tabelle1[[#This Row],[MAC 2:]]&amp;"serial_nb=000"&amp;Tabelle1[[#This Row],[SNr.:]]&amp;"device_type="&amp;Tabelle1[[#This Row],[Devicetype:]]</f>
        <v>mac_address=98D3D20031AFserial_nb=00012719device_type=rcam_2</v>
      </c>
      <c r="S72" s="9"/>
      <c r="T72" s="9" t="b">
        <f>EXACT(Tabelle1[[#This Row],[Configuration String aus SOME/IP-SD SOLL:]],Tabelle1[[#This Row],[Configuration String aus SOME/IP-SD IST:]])</f>
        <v>0</v>
      </c>
      <c r="U72" s="9" t="str">
        <f>Tabelle1[[#This Row],[snpn:]]&amp;"000"&amp;Tabelle1[[#This Row],[SNr.:]]&amp;LOWER(Tabelle1[[#This Row],[MAC 2:]])</f>
        <v>43245485710001271998d3d20031af</v>
      </c>
      <c r="V72" s="9"/>
      <c r="W72" s="9" t="b">
        <f>EXACT(Tabelle1[[#This Row],[Payload getCamIdentifikation (Wireshark) SOLL:]],Tabelle1[[#This Row],[Payload getCamIdentifikation (Wireshark) IST:]])</f>
        <v>0</v>
      </c>
      <c r="X72" s="9"/>
      <c r="Y72" s="9"/>
      <c r="Z72" s="9"/>
      <c r="AA72" s="9"/>
    </row>
    <row r="73" spans="1:27" x14ac:dyDescent="0.2">
      <c r="A73" s="9">
        <f t="shared" si="6"/>
        <v>72</v>
      </c>
      <c r="B73" s="10" t="s">
        <v>33</v>
      </c>
      <c r="C73" t="s">
        <v>32</v>
      </c>
      <c r="D73" s="2" t="s">
        <v>30</v>
      </c>
      <c r="E73">
        <v>24548571</v>
      </c>
      <c r="F73">
        <v>24548571</v>
      </c>
      <c r="G73" t="s">
        <v>31</v>
      </c>
      <c r="H73" t="s">
        <v>31</v>
      </c>
      <c r="I73">
        <v>4324548571</v>
      </c>
      <c r="J73" t="s">
        <v>48</v>
      </c>
      <c r="K73">
        <v>12720</v>
      </c>
      <c r="L73" s="9" t="str">
        <f t="shared" si="7"/>
        <v>98D3D2-0031B0</v>
      </c>
      <c r="M73" s="9" t="str">
        <f t="shared" si="8"/>
        <v>98D3D20031B0</v>
      </c>
      <c r="N73">
        <v>260515</v>
      </c>
      <c r="O73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24548571&amp;260515&amp;12720&amp;98D3D2-0031B0&amp;B03</v>
      </c>
      <c r="P73" s="9"/>
      <c r="Q73" s="9" t="b">
        <f>EXACT(Tabelle1[[#This Row],[DMC Kamera SOLL:]],Tabelle1[[#This Row],[DMC Kamera IST:]])</f>
        <v>0</v>
      </c>
      <c r="R73" s="9" t="str">
        <f>"mac_address="&amp;Tabelle1[[#This Row],[MAC 2:]]&amp;"serial_nb=000"&amp;Tabelle1[[#This Row],[SNr.:]]&amp;"device_type="&amp;Tabelle1[[#This Row],[Devicetype:]]</f>
        <v>mac_address=98D3D20031B0serial_nb=00012720device_type=rcam_2</v>
      </c>
      <c r="S73" s="9"/>
      <c r="T73" s="9" t="b">
        <f>EXACT(Tabelle1[[#This Row],[Configuration String aus SOME/IP-SD SOLL:]],Tabelle1[[#This Row],[Configuration String aus SOME/IP-SD IST:]])</f>
        <v>0</v>
      </c>
      <c r="U73" s="9" t="str">
        <f>Tabelle1[[#This Row],[snpn:]]&amp;"000"&amp;Tabelle1[[#This Row],[SNr.:]]&amp;LOWER(Tabelle1[[#This Row],[MAC 2:]])</f>
        <v>43245485710001272098d3d20031b0</v>
      </c>
      <c r="V73" s="9"/>
      <c r="W73" s="9" t="b">
        <f>EXACT(Tabelle1[[#This Row],[Payload getCamIdentifikation (Wireshark) SOLL:]],Tabelle1[[#This Row],[Payload getCamIdentifikation (Wireshark) IST:]])</f>
        <v>0</v>
      </c>
      <c r="X73" s="9"/>
      <c r="Y73" s="9"/>
      <c r="Z73" s="9"/>
      <c r="AA73" s="9"/>
    </row>
    <row r="74" spans="1:27" x14ac:dyDescent="0.2">
      <c r="A74" s="9">
        <f t="shared" si="6"/>
        <v>73</v>
      </c>
      <c r="B74" s="10" t="s">
        <v>33</v>
      </c>
      <c r="C74" t="s">
        <v>32</v>
      </c>
      <c r="D74" s="2" t="s">
        <v>30</v>
      </c>
      <c r="E74">
        <v>24548571</v>
      </c>
      <c r="F74">
        <v>24548571</v>
      </c>
      <c r="G74" t="s">
        <v>31</v>
      </c>
      <c r="H74" t="s">
        <v>31</v>
      </c>
      <c r="I74">
        <v>4324548571</v>
      </c>
      <c r="J74" t="s">
        <v>48</v>
      </c>
      <c r="K74">
        <v>12721</v>
      </c>
      <c r="L74" s="9" t="str">
        <f t="shared" si="7"/>
        <v>98D3D2-0031B1</v>
      </c>
      <c r="M74" s="9" t="str">
        <f t="shared" si="8"/>
        <v>98D3D20031B1</v>
      </c>
      <c r="N74">
        <v>260515</v>
      </c>
      <c r="O74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24548571&amp;260515&amp;12721&amp;98D3D2-0031B1&amp;B03</v>
      </c>
      <c r="P74" s="9"/>
      <c r="Q74" s="9" t="b">
        <f>EXACT(Tabelle1[[#This Row],[DMC Kamera SOLL:]],Tabelle1[[#This Row],[DMC Kamera IST:]])</f>
        <v>0</v>
      </c>
      <c r="R74" s="9" t="str">
        <f>"mac_address="&amp;Tabelle1[[#This Row],[MAC 2:]]&amp;"serial_nb=000"&amp;Tabelle1[[#This Row],[SNr.:]]&amp;"device_type="&amp;Tabelle1[[#This Row],[Devicetype:]]</f>
        <v>mac_address=98D3D20031B1serial_nb=00012721device_type=rcam_2</v>
      </c>
      <c r="S74" s="9"/>
      <c r="T74" s="9" t="b">
        <f>EXACT(Tabelle1[[#This Row],[Configuration String aus SOME/IP-SD SOLL:]],Tabelle1[[#This Row],[Configuration String aus SOME/IP-SD IST:]])</f>
        <v>0</v>
      </c>
      <c r="U74" s="9" t="str">
        <f>Tabelle1[[#This Row],[snpn:]]&amp;"000"&amp;Tabelle1[[#This Row],[SNr.:]]&amp;LOWER(Tabelle1[[#This Row],[MAC 2:]])</f>
        <v>43245485710001272198d3d20031b1</v>
      </c>
      <c r="V74" s="9"/>
      <c r="W74" s="9" t="b">
        <f>EXACT(Tabelle1[[#This Row],[Payload getCamIdentifikation (Wireshark) SOLL:]],Tabelle1[[#This Row],[Payload getCamIdentifikation (Wireshark) IST:]])</f>
        <v>0</v>
      </c>
      <c r="X74" s="9"/>
      <c r="Y74" s="9"/>
      <c r="Z74" s="9"/>
      <c r="AA74" s="9"/>
    </row>
    <row r="75" spans="1:27" x14ac:dyDescent="0.2">
      <c r="A75" s="9">
        <f t="shared" si="6"/>
        <v>74</v>
      </c>
      <c r="B75" s="10" t="s">
        <v>33</v>
      </c>
      <c r="C75" t="s">
        <v>32</v>
      </c>
      <c r="D75" s="2" t="s">
        <v>30</v>
      </c>
      <c r="E75">
        <v>24548571</v>
      </c>
      <c r="F75">
        <v>24548571</v>
      </c>
      <c r="G75" t="s">
        <v>31</v>
      </c>
      <c r="H75" t="s">
        <v>31</v>
      </c>
      <c r="I75">
        <v>4324548571</v>
      </c>
      <c r="J75" t="s">
        <v>48</v>
      </c>
      <c r="K75">
        <v>12722</v>
      </c>
      <c r="L75" s="9" t="str">
        <f t="shared" si="7"/>
        <v>98D3D2-0031B2</v>
      </c>
      <c r="M75" s="9" t="str">
        <f t="shared" si="8"/>
        <v>98D3D20031B2</v>
      </c>
      <c r="N75">
        <v>260515</v>
      </c>
      <c r="O75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24548571&amp;260515&amp;12722&amp;98D3D2-0031B2&amp;B03</v>
      </c>
      <c r="P75" s="9"/>
      <c r="Q75" s="9" t="b">
        <f>EXACT(Tabelle1[[#This Row],[DMC Kamera SOLL:]],Tabelle1[[#This Row],[DMC Kamera IST:]])</f>
        <v>0</v>
      </c>
      <c r="R75" s="9" t="str">
        <f>"mac_address="&amp;Tabelle1[[#This Row],[MAC 2:]]&amp;"serial_nb=000"&amp;Tabelle1[[#This Row],[SNr.:]]&amp;"device_type="&amp;Tabelle1[[#This Row],[Devicetype:]]</f>
        <v>mac_address=98D3D20031B2serial_nb=00012722device_type=rcam_2</v>
      </c>
      <c r="S75" s="9"/>
      <c r="T75" s="9" t="b">
        <f>EXACT(Tabelle1[[#This Row],[Configuration String aus SOME/IP-SD SOLL:]],Tabelle1[[#This Row],[Configuration String aus SOME/IP-SD IST:]])</f>
        <v>0</v>
      </c>
      <c r="U75" s="9" t="str">
        <f>Tabelle1[[#This Row],[snpn:]]&amp;"000"&amp;Tabelle1[[#This Row],[SNr.:]]&amp;LOWER(Tabelle1[[#This Row],[MAC 2:]])</f>
        <v>43245485710001272298d3d20031b2</v>
      </c>
      <c r="V75" s="9"/>
      <c r="W75" s="9" t="b">
        <f>EXACT(Tabelle1[[#This Row],[Payload getCamIdentifikation (Wireshark) SOLL:]],Tabelle1[[#This Row],[Payload getCamIdentifikation (Wireshark) IST:]])</f>
        <v>0</v>
      </c>
      <c r="X75" s="9"/>
      <c r="Y75" s="9"/>
      <c r="Z75" s="9"/>
      <c r="AA75" s="9"/>
    </row>
    <row r="76" spans="1:27" x14ac:dyDescent="0.2">
      <c r="A76" s="9">
        <f t="shared" si="6"/>
        <v>75</v>
      </c>
      <c r="B76" s="10" t="s">
        <v>33</v>
      </c>
      <c r="C76" t="s">
        <v>32</v>
      </c>
      <c r="D76" s="2" t="s">
        <v>30</v>
      </c>
      <c r="E76">
        <v>24548571</v>
      </c>
      <c r="F76">
        <v>24548571</v>
      </c>
      <c r="G76" t="s">
        <v>31</v>
      </c>
      <c r="H76" t="s">
        <v>31</v>
      </c>
      <c r="I76">
        <v>4324548571</v>
      </c>
      <c r="J76" t="s">
        <v>48</v>
      </c>
      <c r="K76">
        <v>12723</v>
      </c>
      <c r="L76" s="9" t="str">
        <f t="shared" si="7"/>
        <v>98D3D2-0031B3</v>
      </c>
      <c r="M76" s="9" t="str">
        <f t="shared" si="8"/>
        <v>98D3D20031B3</v>
      </c>
      <c r="N76">
        <v>260515</v>
      </c>
      <c r="O76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24548571&amp;260515&amp;12723&amp;98D3D2-0031B3&amp;B03</v>
      </c>
      <c r="P76" s="9"/>
      <c r="Q76" s="9" t="b">
        <f>EXACT(Tabelle1[[#This Row],[DMC Kamera SOLL:]],Tabelle1[[#This Row],[DMC Kamera IST:]])</f>
        <v>0</v>
      </c>
      <c r="R76" s="9" t="str">
        <f>"mac_address="&amp;Tabelle1[[#This Row],[MAC 2:]]&amp;"serial_nb=000"&amp;Tabelle1[[#This Row],[SNr.:]]&amp;"device_type="&amp;Tabelle1[[#This Row],[Devicetype:]]</f>
        <v>mac_address=98D3D20031B3serial_nb=00012723device_type=rcam_2</v>
      </c>
      <c r="S76" s="9"/>
      <c r="T76" s="9" t="b">
        <f>EXACT(Tabelle1[[#This Row],[Configuration String aus SOME/IP-SD SOLL:]],Tabelle1[[#This Row],[Configuration String aus SOME/IP-SD IST:]])</f>
        <v>0</v>
      </c>
      <c r="U76" s="9" t="str">
        <f>Tabelle1[[#This Row],[snpn:]]&amp;"000"&amp;Tabelle1[[#This Row],[SNr.:]]&amp;LOWER(Tabelle1[[#This Row],[MAC 2:]])</f>
        <v>43245485710001272398d3d20031b3</v>
      </c>
      <c r="V76" s="9"/>
      <c r="W76" s="9" t="b">
        <f>EXACT(Tabelle1[[#This Row],[Payload getCamIdentifikation (Wireshark) SOLL:]],Tabelle1[[#This Row],[Payload getCamIdentifikation (Wireshark) IST:]])</f>
        <v>0</v>
      </c>
      <c r="X76" s="9"/>
      <c r="Y76" s="9"/>
      <c r="Z76" s="9"/>
      <c r="AA76" s="9"/>
    </row>
    <row r="77" spans="1:27" x14ac:dyDescent="0.2">
      <c r="A77" s="9">
        <f t="shared" ref="A77:A85" si="9">ROW()-1</f>
        <v>76</v>
      </c>
      <c r="B77" s="10" t="s">
        <v>33</v>
      </c>
      <c r="C77" t="s">
        <v>32</v>
      </c>
      <c r="D77" s="2" t="s">
        <v>30</v>
      </c>
      <c r="E77">
        <v>24548571</v>
      </c>
      <c r="F77">
        <v>24548571</v>
      </c>
      <c r="G77" t="s">
        <v>31</v>
      </c>
      <c r="H77" t="s">
        <v>31</v>
      </c>
      <c r="I77">
        <v>4324548571</v>
      </c>
      <c r="J77" t="s">
        <v>48</v>
      </c>
      <c r="K77">
        <v>12724</v>
      </c>
      <c r="L77" s="9" t="str">
        <f t="shared" ref="L77:L85" si="10">"98D3D2-00"&amp;DEC2HEX(K77)</f>
        <v>98D3D2-0031B4</v>
      </c>
      <c r="M77" s="9" t="str">
        <f t="shared" ref="M77:M85" si="11">"98D3D200"&amp;DEC2HEX(K77)</f>
        <v>98D3D20031B4</v>
      </c>
      <c r="N77">
        <v>260515</v>
      </c>
      <c r="O77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24548571&amp;260515&amp;12724&amp;98D3D2-0031B4&amp;B03</v>
      </c>
      <c r="P77" s="9"/>
      <c r="Q77" s="9" t="b">
        <f>EXACT(Tabelle1[[#This Row],[DMC Kamera SOLL:]],Tabelle1[[#This Row],[DMC Kamera IST:]])</f>
        <v>0</v>
      </c>
      <c r="R77" s="9" t="str">
        <f>"mac_address="&amp;Tabelle1[[#This Row],[MAC 2:]]&amp;"serial_nb=000"&amp;Tabelle1[[#This Row],[SNr.:]]&amp;"device_type="&amp;Tabelle1[[#This Row],[Devicetype:]]</f>
        <v>mac_address=98D3D20031B4serial_nb=00012724device_type=rcam_2</v>
      </c>
      <c r="S77" s="9"/>
      <c r="T77" s="9" t="b">
        <f>EXACT(Tabelle1[[#This Row],[Configuration String aus SOME/IP-SD SOLL:]],Tabelle1[[#This Row],[Configuration String aus SOME/IP-SD IST:]])</f>
        <v>0</v>
      </c>
      <c r="U77" s="9" t="str">
        <f>Tabelle1[[#This Row],[snpn:]]&amp;"000"&amp;Tabelle1[[#This Row],[SNr.:]]&amp;LOWER(Tabelle1[[#This Row],[MAC 2:]])</f>
        <v>43245485710001272498d3d20031b4</v>
      </c>
      <c r="V77" s="9"/>
      <c r="W77" s="9" t="b">
        <f>EXACT(Tabelle1[[#This Row],[Payload getCamIdentifikation (Wireshark) SOLL:]],Tabelle1[[#This Row],[Payload getCamIdentifikation (Wireshark) IST:]])</f>
        <v>0</v>
      </c>
      <c r="X77" s="9"/>
      <c r="Y77" s="9"/>
      <c r="Z77" s="9"/>
      <c r="AA77" s="9"/>
    </row>
    <row r="78" spans="1:27" x14ac:dyDescent="0.2">
      <c r="A78" s="9">
        <f t="shared" si="9"/>
        <v>77</v>
      </c>
      <c r="B78" s="10" t="s">
        <v>33</v>
      </c>
      <c r="C78" t="s">
        <v>32</v>
      </c>
      <c r="D78" s="2" t="s">
        <v>30</v>
      </c>
      <c r="E78">
        <v>24548571</v>
      </c>
      <c r="F78">
        <v>24548571</v>
      </c>
      <c r="G78" t="s">
        <v>31</v>
      </c>
      <c r="H78" t="s">
        <v>31</v>
      </c>
      <c r="I78">
        <v>4324548571</v>
      </c>
      <c r="J78" t="s">
        <v>48</v>
      </c>
      <c r="K78">
        <v>12725</v>
      </c>
      <c r="L78" s="9" t="str">
        <f t="shared" si="10"/>
        <v>98D3D2-0031B5</v>
      </c>
      <c r="M78" s="9" t="str">
        <f t="shared" si="11"/>
        <v>98D3D20031B5</v>
      </c>
      <c r="N78">
        <v>260515</v>
      </c>
      <c r="O78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24548571&amp;260515&amp;12725&amp;98D3D2-0031B5&amp;B03</v>
      </c>
      <c r="P78" s="9"/>
      <c r="Q78" s="9" t="b">
        <f>EXACT(Tabelle1[[#This Row],[DMC Kamera SOLL:]],Tabelle1[[#This Row],[DMC Kamera IST:]])</f>
        <v>0</v>
      </c>
      <c r="R78" s="9" t="str">
        <f>"mac_address="&amp;Tabelle1[[#This Row],[MAC 2:]]&amp;"serial_nb=000"&amp;Tabelle1[[#This Row],[SNr.:]]&amp;"device_type="&amp;Tabelle1[[#This Row],[Devicetype:]]</f>
        <v>mac_address=98D3D20031B5serial_nb=00012725device_type=rcam_2</v>
      </c>
      <c r="S78" s="9"/>
      <c r="T78" s="9" t="b">
        <f>EXACT(Tabelle1[[#This Row],[Configuration String aus SOME/IP-SD SOLL:]],Tabelle1[[#This Row],[Configuration String aus SOME/IP-SD IST:]])</f>
        <v>0</v>
      </c>
      <c r="U78" s="9" t="str">
        <f>Tabelle1[[#This Row],[snpn:]]&amp;"000"&amp;Tabelle1[[#This Row],[SNr.:]]&amp;LOWER(Tabelle1[[#This Row],[MAC 2:]])</f>
        <v>43245485710001272598d3d20031b5</v>
      </c>
      <c r="V78" s="9"/>
      <c r="W78" s="9" t="b">
        <f>EXACT(Tabelle1[[#This Row],[Payload getCamIdentifikation (Wireshark) SOLL:]],Tabelle1[[#This Row],[Payload getCamIdentifikation (Wireshark) IST:]])</f>
        <v>0</v>
      </c>
      <c r="X78" s="9"/>
      <c r="Y78" s="9"/>
      <c r="Z78" s="9"/>
      <c r="AA78" s="9"/>
    </row>
    <row r="79" spans="1:27" x14ac:dyDescent="0.2">
      <c r="A79" s="9">
        <f t="shared" si="9"/>
        <v>78</v>
      </c>
      <c r="B79" s="10" t="s">
        <v>33</v>
      </c>
      <c r="C79" t="s">
        <v>32</v>
      </c>
      <c r="D79" s="2" t="s">
        <v>30</v>
      </c>
      <c r="E79">
        <v>24548571</v>
      </c>
      <c r="F79">
        <v>24548571</v>
      </c>
      <c r="G79" t="s">
        <v>31</v>
      </c>
      <c r="H79" t="s">
        <v>31</v>
      </c>
      <c r="I79">
        <v>4324548571</v>
      </c>
      <c r="J79" t="s">
        <v>48</v>
      </c>
      <c r="K79">
        <v>12726</v>
      </c>
      <c r="L79" s="9" t="str">
        <f t="shared" si="10"/>
        <v>98D3D2-0031B6</v>
      </c>
      <c r="M79" s="9" t="str">
        <f t="shared" si="11"/>
        <v>98D3D20031B6</v>
      </c>
      <c r="N79">
        <v>260515</v>
      </c>
      <c r="O79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24548571&amp;260515&amp;12726&amp;98D3D2-0031B6&amp;B03</v>
      </c>
      <c r="P79" s="9"/>
      <c r="Q79" s="9" t="b">
        <f>EXACT(Tabelle1[[#This Row],[DMC Kamera SOLL:]],Tabelle1[[#This Row],[DMC Kamera IST:]])</f>
        <v>0</v>
      </c>
      <c r="R79" s="9" t="str">
        <f>"mac_address="&amp;Tabelle1[[#This Row],[MAC 2:]]&amp;"serial_nb=000"&amp;Tabelle1[[#This Row],[SNr.:]]&amp;"device_type="&amp;Tabelle1[[#This Row],[Devicetype:]]</f>
        <v>mac_address=98D3D20031B6serial_nb=00012726device_type=rcam_2</v>
      </c>
      <c r="S79" s="9"/>
      <c r="T79" s="9" t="b">
        <f>EXACT(Tabelle1[[#This Row],[Configuration String aus SOME/IP-SD SOLL:]],Tabelle1[[#This Row],[Configuration String aus SOME/IP-SD IST:]])</f>
        <v>0</v>
      </c>
      <c r="U79" s="9" t="str">
        <f>Tabelle1[[#This Row],[snpn:]]&amp;"000"&amp;Tabelle1[[#This Row],[SNr.:]]&amp;LOWER(Tabelle1[[#This Row],[MAC 2:]])</f>
        <v>43245485710001272698d3d20031b6</v>
      </c>
      <c r="V79" s="9"/>
      <c r="W79" s="9" t="b">
        <f>EXACT(Tabelle1[[#This Row],[Payload getCamIdentifikation (Wireshark) SOLL:]],Tabelle1[[#This Row],[Payload getCamIdentifikation (Wireshark) IST:]])</f>
        <v>0</v>
      </c>
      <c r="X79" s="9"/>
      <c r="Y79" s="9"/>
      <c r="Z79" s="9"/>
      <c r="AA79" s="9"/>
    </row>
    <row r="80" spans="1:27" x14ac:dyDescent="0.2">
      <c r="A80" s="9">
        <f t="shared" si="9"/>
        <v>79</v>
      </c>
      <c r="B80" s="10" t="s">
        <v>33</v>
      </c>
      <c r="C80" t="s">
        <v>32</v>
      </c>
      <c r="D80" s="2" t="s">
        <v>30</v>
      </c>
      <c r="E80">
        <v>24548571</v>
      </c>
      <c r="F80">
        <v>24548571</v>
      </c>
      <c r="G80" t="s">
        <v>31</v>
      </c>
      <c r="H80" t="s">
        <v>31</v>
      </c>
      <c r="I80">
        <v>4324548571</v>
      </c>
      <c r="J80" t="s">
        <v>48</v>
      </c>
      <c r="K80">
        <v>12728</v>
      </c>
      <c r="L80" s="9" t="str">
        <f t="shared" si="10"/>
        <v>98D3D2-0031B8</v>
      </c>
      <c r="M80" s="9" t="str">
        <f t="shared" si="11"/>
        <v>98D3D20031B8</v>
      </c>
      <c r="N80">
        <v>260515</v>
      </c>
      <c r="O80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24548571&amp;260515&amp;12728&amp;98D3D2-0031B8&amp;B03</v>
      </c>
      <c r="P80" s="9"/>
      <c r="Q80" s="9" t="b">
        <f>EXACT(Tabelle1[[#This Row],[DMC Kamera SOLL:]],Tabelle1[[#This Row],[DMC Kamera IST:]])</f>
        <v>0</v>
      </c>
      <c r="R80" s="9" t="str">
        <f>"mac_address="&amp;Tabelle1[[#This Row],[MAC 2:]]&amp;"serial_nb=000"&amp;Tabelle1[[#This Row],[SNr.:]]&amp;"device_type="&amp;Tabelle1[[#This Row],[Devicetype:]]</f>
        <v>mac_address=98D3D20031B8serial_nb=00012728device_type=rcam_2</v>
      </c>
      <c r="S80" s="9"/>
      <c r="T80" s="9" t="b">
        <f>EXACT(Tabelle1[[#This Row],[Configuration String aus SOME/IP-SD SOLL:]],Tabelle1[[#This Row],[Configuration String aus SOME/IP-SD IST:]])</f>
        <v>0</v>
      </c>
      <c r="U80" s="9" t="str">
        <f>Tabelle1[[#This Row],[snpn:]]&amp;"000"&amp;Tabelle1[[#This Row],[SNr.:]]&amp;LOWER(Tabelle1[[#This Row],[MAC 2:]])</f>
        <v>43245485710001272898d3d20031b8</v>
      </c>
      <c r="V80" s="9"/>
      <c r="W80" s="9" t="b">
        <f>EXACT(Tabelle1[[#This Row],[Payload getCamIdentifikation (Wireshark) SOLL:]],Tabelle1[[#This Row],[Payload getCamIdentifikation (Wireshark) IST:]])</f>
        <v>0</v>
      </c>
      <c r="X80" s="9"/>
      <c r="Y80" s="9"/>
      <c r="Z80" s="9"/>
      <c r="AA80" s="9"/>
    </row>
    <row r="81" spans="1:27" x14ac:dyDescent="0.2">
      <c r="A81" s="9">
        <f t="shared" si="9"/>
        <v>80</v>
      </c>
      <c r="B81" s="10" t="s">
        <v>33</v>
      </c>
      <c r="C81" t="s">
        <v>32</v>
      </c>
      <c r="D81" s="2" t="s">
        <v>30</v>
      </c>
      <c r="E81">
        <v>24548571</v>
      </c>
      <c r="F81">
        <v>24548571</v>
      </c>
      <c r="G81" t="s">
        <v>31</v>
      </c>
      <c r="H81" t="s">
        <v>31</v>
      </c>
      <c r="I81">
        <v>4324548571</v>
      </c>
      <c r="J81" t="s">
        <v>48</v>
      </c>
      <c r="K81">
        <v>12729</v>
      </c>
      <c r="L81" s="9" t="str">
        <f t="shared" si="10"/>
        <v>98D3D2-0031B9</v>
      </c>
      <c r="M81" s="9" t="str">
        <f t="shared" si="11"/>
        <v>98D3D20031B9</v>
      </c>
      <c r="N81">
        <v>260515</v>
      </c>
      <c r="O81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24548571&amp;260515&amp;12729&amp;98D3D2-0031B9&amp;B03</v>
      </c>
      <c r="P81" s="9"/>
      <c r="Q81" s="9" t="b">
        <f>EXACT(Tabelle1[[#This Row],[DMC Kamera SOLL:]],Tabelle1[[#This Row],[DMC Kamera IST:]])</f>
        <v>0</v>
      </c>
      <c r="R81" s="9" t="str">
        <f>"mac_address="&amp;Tabelle1[[#This Row],[MAC 2:]]&amp;"serial_nb=000"&amp;Tabelle1[[#This Row],[SNr.:]]&amp;"device_type="&amp;Tabelle1[[#This Row],[Devicetype:]]</f>
        <v>mac_address=98D3D20031B9serial_nb=00012729device_type=rcam_2</v>
      </c>
      <c r="S81" s="9"/>
      <c r="T81" s="9" t="b">
        <f>EXACT(Tabelle1[[#This Row],[Configuration String aus SOME/IP-SD SOLL:]],Tabelle1[[#This Row],[Configuration String aus SOME/IP-SD IST:]])</f>
        <v>0</v>
      </c>
      <c r="U81" s="9" t="str">
        <f>Tabelle1[[#This Row],[snpn:]]&amp;"000"&amp;Tabelle1[[#This Row],[SNr.:]]&amp;LOWER(Tabelle1[[#This Row],[MAC 2:]])</f>
        <v>43245485710001272998d3d20031b9</v>
      </c>
      <c r="V81" s="9"/>
      <c r="W81" s="9" t="b">
        <f>EXACT(Tabelle1[[#This Row],[Payload getCamIdentifikation (Wireshark) SOLL:]],Tabelle1[[#This Row],[Payload getCamIdentifikation (Wireshark) IST:]])</f>
        <v>0</v>
      </c>
      <c r="X81" s="9"/>
      <c r="Y81" s="9"/>
      <c r="Z81" s="9"/>
      <c r="AA81" s="9"/>
    </row>
    <row r="82" spans="1:27" x14ac:dyDescent="0.2">
      <c r="A82" s="9">
        <f t="shared" si="9"/>
        <v>81</v>
      </c>
      <c r="B82" s="10" t="s">
        <v>33</v>
      </c>
      <c r="C82" t="s">
        <v>32</v>
      </c>
      <c r="D82" s="2" t="s">
        <v>30</v>
      </c>
      <c r="E82">
        <v>24548571</v>
      </c>
      <c r="F82">
        <v>24548571</v>
      </c>
      <c r="G82" t="s">
        <v>31</v>
      </c>
      <c r="H82" t="s">
        <v>31</v>
      </c>
      <c r="I82">
        <v>4324548571</v>
      </c>
      <c r="J82" t="s">
        <v>48</v>
      </c>
      <c r="K82">
        <v>12730</v>
      </c>
      <c r="L82" s="9" t="str">
        <f t="shared" si="10"/>
        <v>98D3D2-0031BA</v>
      </c>
      <c r="M82" s="9" t="str">
        <f t="shared" si="11"/>
        <v>98D3D20031BA</v>
      </c>
      <c r="N82">
        <v>260515</v>
      </c>
      <c r="O82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24548571&amp;260515&amp;12730&amp;98D3D2-0031BA&amp;B03</v>
      </c>
      <c r="P82" s="9"/>
      <c r="Q82" s="9" t="b">
        <f>EXACT(Tabelle1[[#This Row],[DMC Kamera SOLL:]],Tabelle1[[#This Row],[DMC Kamera IST:]])</f>
        <v>0</v>
      </c>
      <c r="R82" s="9" t="str">
        <f>"mac_address="&amp;Tabelle1[[#This Row],[MAC 2:]]&amp;"serial_nb=000"&amp;Tabelle1[[#This Row],[SNr.:]]&amp;"device_type="&amp;Tabelle1[[#This Row],[Devicetype:]]</f>
        <v>mac_address=98D3D20031BAserial_nb=00012730device_type=rcam_2</v>
      </c>
      <c r="S82" s="9"/>
      <c r="T82" s="9" t="b">
        <f>EXACT(Tabelle1[[#This Row],[Configuration String aus SOME/IP-SD SOLL:]],Tabelle1[[#This Row],[Configuration String aus SOME/IP-SD IST:]])</f>
        <v>0</v>
      </c>
      <c r="U82" s="9" t="str">
        <f>Tabelle1[[#This Row],[snpn:]]&amp;"000"&amp;Tabelle1[[#This Row],[SNr.:]]&amp;LOWER(Tabelle1[[#This Row],[MAC 2:]])</f>
        <v>43245485710001273098d3d20031ba</v>
      </c>
      <c r="V82" s="9"/>
      <c r="W82" s="9" t="b">
        <f>EXACT(Tabelle1[[#This Row],[Payload getCamIdentifikation (Wireshark) SOLL:]],Tabelle1[[#This Row],[Payload getCamIdentifikation (Wireshark) IST:]])</f>
        <v>0</v>
      </c>
      <c r="X82" s="9"/>
      <c r="Y82" s="9"/>
      <c r="Z82" s="9"/>
      <c r="AA82" s="9"/>
    </row>
    <row r="83" spans="1:27" x14ac:dyDescent="0.2">
      <c r="A83" s="9">
        <f t="shared" si="9"/>
        <v>82</v>
      </c>
      <c r="B83" s="10" t="s">
        <v>33</v>
      </c>
      <c r="C83" t="s">
        <v>32</v>
      </c>
      <c r="D83" s="2" t="s">
        <v>30</v>
      </c>
      <c r="E83">
        <v>24548571</v>
      </c>
      <c r="F83">
        <v>24548571</v>
      </c>
      <c r="G83" t="s">
        <v>31</v>
      </c>
      <c r="H83" t="s">
        <v>31</v>
      </c>
      <c r="I83">
        <v>4324548571</v>
      </c>
      <c r="J83" t="s">
        <v>48</v>
      </c>
      <c r="K83">
        <v>12731</v>
      </c>
      <c r="L83" s="9" t="str">
        <f t="shared" si="10"/>
        <v>98D3D2-0031BB</v>
      </c>
      <c r="M83" s="9" t="str">
        <f t="shared" si="11"/>
        <v>98D3D20031BB</v>
      </c>
      <c r="N83">
        <v>260515</v>
      </c>
      <c r="O83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24548571&amp;260515&amp;12731&amp;98D3D2-0031BB&amp;B03</v>
      </c>
      <c r="P83" s="9"/>
      <c r="Q83" s="9" t="b">
        <f>EXACT(Tabelle1[[#This Row],[DMC Kamera SOLL:]],Tabelle1[[#This Row],[DMC Kamera IST:]])</f>
        <v>0</v>
      </c>
      <c r="R83" s="9" t="str">
        <f>"mac_address="&amp;Tabelle1[[#This Row],[MAC 2:]]&amp;"serial_nb=000"&amp;Tabelle1[[#This Row],[SNr.:]]&amp;"device_type="&amp;Tabelle1[[#This Row],[Devicetype:]]</f>
        <v>mac_address=98D3D20031BBserial_nb=00012731device_type=rcam_2</v>
      </c>
      <c r="S83" s="9"/>
      <c r="T83" s="9" t="b">
        <f>EXACT(Tabelle1[[#This Row],[Configuration String aus SOME/IP-SD SOLL:]],Tabelle1[[#This Row],[Configuration String aus SOME/IP-SD IST:]])</f>
        <v>0</v>
      </c>
      <c r="U83" s="9" t="str">
        <f>Tabelle1[[#This Row],[snpn:]]&amp;"000"&amp;Tabelle1[[#This Row],[SNr.:]]&amp;LOWER(Tabelle1[[#This Row],[MAC 2:]])</f>
        <v>43245485710001273198d3d20031bb</v>
      </c>
      <c r="V83" s="9"/>
      <c r="W83" s="9" t="b">
        <f>EXACT(Tabelle1[[#This Row],[Payload getCamIdentifikation (Wireshark) SOLL:]],Tabelle1[[#This Row],[Payload getCamIdentifikation (Wireshark) IST:]])</f>
        <v>0</v>
      </c>
      <c r="X83" s="9"/>
      <c r="Y83" s="9"/>
      <c r="Z83" s="9"/>
      <c r="AA83" s="9"/>
    </row>
    <row r="84" spans="1:27" x14ac:dyDescent="0.2">
      <c r="A84" s="9">
        <f t="shared" si="9"/>
        <v>83</v>
      </c>
      <c r="B84" s="10" t="s">
        <v>33</v>
      </c>
      <c r="C84" t="s">
        <v>32</v>
      </c>
      <c r="D84" s="2" t="s">
        <v>30</v>
      </c>
      <c r="E84">
        <v>24548571</v>
      </c>
      <c r="F84">
        <v>24548571</v>
      </c>
      <c r="G84" t="s">
        <v>31</v>
      </c>
      <c r="H84" t="s">
        <v>31</v>
      </c>
      <c r="I84">
        <v>4324548571</v>
      </c>
      <c r="J84" t="s">
        <v>48</v>
      </c>
      <c r="K84">
        <v>12732</v>
      </c>
      <c r="L84" s="9" t="str">
        <f t="shared" si="10"/>
        <v>98D3D2-0031BC</v>
      </c>
      <c r="M84" s="9" t="str">
        <f t="shared" si="11"/>
        <v>98D3D20031BC</v>
      </c>
      <c r="N84">
        <v>260515</v>
      </c>
      <c r="O84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24548571&amp;260515&amp;12732&amp;98D3D2-0031BC&amp;B03</v>
      </c>
      <c r="P84" s="9"/>
      <c r="Q84" s="9" t="b">
        <f>EXACT(Tabelle1[[#This Row],[DMC Kamera SOLL:]],Tabelle1[[#This Row],[DMC Kamera IST:]])</f>
        <v>0</v>
      </c>
      <c r="R84" s="9" t="str">
        <f>"mac_address="&amp;Tabelle1[[#This Row],[MAC 2:]]&amp;"serial_nb=000"&amp;Tabelle1[[#This Row],[SNr.:]]&amp;"device_type="&amp;Tabelle1[[#This Row],[Devicetype:]]</f>
        <v>mac_address=98D3D20031BCserial_nb=00012732device_type=rcam_2</v>
      </c>
      <c r="S84" s="9"/>
      <c r="T84" s="9" t="b">
        <f>EXACT(Tabelle1[[#This Row],[Configuration String aus SOME/IP-SD SOLL:]],Tabelle1[[#This Row],[Configuration String aus SOME/IP-SD IST:]])</f>
        <v>0</v>
      </c>
      <c r="U84" s="9" t="str">
        <f>Tabelle1[[#This Row],[snpn:]]&amp;"000"&amp;Tabelle1[[#This Row],[SNr.:]]&amp;LOWER(Tabelle1[[#This Row],[MAC 2:]])</f>
        <v>43245485710001273298d3d20031bc</v>
      </c>
      <c r="V84" s="9"/>
      <c r="W84" s="9" t="b">
        <f>EXACT(Tabelle1[[#This Row],[Payload getCamIdentifikation (Wireshark) SOLL:]],Tabelle1[[#This Row],[Payload getCamIdentifikation (Wireshark) IST:]])</f>
        <v>0</v>
      </c>
      <c r="X84" s="9"/>
      <c r="Y84" s="9"/>
      <c r="Z84" s="9"/>
      <c r="AA84" s="9"/>
    </row>
    <row r="85" spans="1:27" x14ac:dyDescent="0.2">
      <c r="A85" s="9">
        <f t="shared" si="9"/>
        <v>84</v>
      </c>
      <c r="B85" s="10" t="s">
        <v>33</v>
      </c>
      <c r="C85" t="s">
        <v>32</v>
      </c>
      <c r="D85" s="2" t="s">
        <v>30</v>
      </c>
      <c r="E85">
        <v>24548571</v>
      </c>
      <c r="F85">
        <v>24548571</v>
      </c>
      <c r="G85" t="s">
        <v>31</v>
      </c>
      <c r="H85" t="s">
        <v>31</v>
      </c>
      <c r="I85">
        <v>4324548571</v>
      </c>
      <c r="J85" t="s">
        <v>48</v>
      </c>
      <c r="K85">
        <v>12733</v>
      </c>
      <c r="L85" s="9" t="str">
        <f t="shared" si="10"/>
        <v>98D3D2-0031BD</v>
      </c>
      <c r="M85" s="9" t="str">
        <f t="shared" si="11"/>
        <v>98D3D20031BD</v>
      </c>
      <c r="N85">
        <v>260515</v>
      </c>
      <c r="O85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24548571&amp;260515&amp;12733&amp;98D3D2-0031BD&amp;B03</v>
      </c>
      <c r="P85" s="9"/>
      <c r="Q85" s="9" t="b">
        <f>EXACT(Tabelle1[[#This Row],[DMC Kamera SOLL:]],Tabelle1[[#This Row],[DMC Kamera IST:]])</f>
        <v>0</v>
      </c>
      <c r="R85" s="9" t="str">
        <f>"mac_address="&amp;Tabelle1[[#This Row],[MAC 2:]]&amp;"serial_nb=000"&amp;Tabelle1[[#This Row],[SNr.:]]&amp;"device_type="&amp;Tabelle1[[#This Row],[Devicetype:]]</f>
        <v>mac_address=98D3D20031BDserial_nb=00012733device_type=rcam_2</v>
      </c>
      <c r="S85" s="9"/>
      <c r="T85" s="9" t="b">
        <f>EXACT(Tabelle1[[#This Row],[Configuration String aus SOME/IP-SD SOLL:]],Tabelle1[[#This Row],[Configuration String aus SOME/IP-SD IST:]])</f>
        <v>0</v>
      </c>
      <c r="U85" s="9" t="str">
        <f>Tabelle1[[#This Row],[snpn:]]&amp;"000"&amp;Tabelle1[[#This Row],[SNr.:]]&amp;LOWER(Tabelle1[[#This Row],[MAC 2:]])</f>
        <v>43245485710001273398d3d20031bd</v>
      </c>
      <c r="V85" s="9"/>
      <c r="W85" s="9" t="b">
        <f>EXACT(Tabelle1[[#This Row],[Payload getCamIdentifikation (Wireshark) SOLL:]],Tabelle1[[#This Row],[Payload getCamIdentifikation (Wireshark) IST:]])</f>
        <v>0</v>
      </c>
      <c r="X85" s="9"/>
      <c r="Y85" s="9"/>
      <c r="Z85" s="9"/>
      <c r="AA85" s="9"/>
    </row>
    <row r="86" spans="1:27" x14ac:dyDescent="0.2">
      <c r="A86" s="9">
        <f t="shared" ref="A86:A93" si="12">ROW()-1</f>
        <v>85</v>
      </c>
      <c r="B86" s="10" t="s">
        <v>33</v>
      </c>
      <c r="C86" t="s">
        <v>32</v>
      </c>
      <c r="D86" s="2" t="s">
        <v>30</v>
      </c>
      <c r="E86">
        <v>24548571</v>
      </c>
      <c r="F86">
        <v>24548571</v>
      </c>
      <c r="G86" t="s">
        <v>31</v>
      </c>
      <c r="H86" t="s">
        <v>31</v>
      </c>
      <c r="I86">
        <v>4324548571</v>
      </c>
      <c r="J86" t="s">
        <v>48</v>
      </c>
      <c r="K86">
        <v>13135</v>
      </c>
      <c r="L86" s="9" t="str">
        <f t="shared" ref="L86:L93" si="13">"98D3D2-00"&amp;DEC2HEX(K86)</f>
        <v>98D3D2-00334F</v>
      </c>
      <c r="M86" s="9" t="str">
        <f t="shared" ref="M86:M93" si="14">"98D3D200"&amp;DEC2HEX(K86)</f>
        <v>98D3D200334F</v>
      </c>
      <c r="N86">
        <v>260521</v>
      </c>
      <c r="O86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24548571&amp;260521&amp;13135&amp;98D3D2-00334F&amp;B03</v>
      </c>
      <c r="P86" s="9"/>
      <c r="Q86" s="9" t="b">
        <f>EXACT(Tabelle1[[#This Row],[DMC Kamera SOLL:]],Tabelle1[[#This Row],[DMC Kamera IST:]])</f>
        <v>0</v>
      </c>
      <c r="R86" s="9" t="str">
        <f>"mac_address="&amp;Tabelle1[[#This Row],[MAC 2:]]&amp;"serial_nb=000"&amp;Tabelle1[[#This Row],[SNr.:]]&amp;"device_type="&amp;Tabelle1[[#This Row],[Devicetype:]]</f>
        <v>mac_address=98D3D200334Fserial_nb=00013135device_type=rcam_2</v>
      </c>
      <c r="S86" s="9"/>
      <c r="T86" s="9" t="b">
        <f>EXACT(Tabelle1[[#This Row],[Configuration String aus SOME/IP-SD SOLL:]],Tabelle1[[#This Row],[Configuration String aus SOME/IP-SD IST:]])</f>
        <v>0</v>
      </c>
      <c r="U86" s="9" t="str">
        <f>Tabelle1[[#This Row],[snpn:]]&amp;"000"&amp;Tabelle1[[#This Row],[SNr.:]]&amp;LOWER(Tabelle1[[#This Row],[MAC 2:]])</f>
        <v>43245485710001313598d3d200334f</v>
      </c>
      <c r="V86" s="9"/>
      <c r="W86" s="9" t="b">
        <f>EXACT(Tabelle1[[#This Row],[Payload getCamIdentifikation (Wireshark) SOLL:]],Tabelle1[[#This Row],[Payload getCamIdentifikation (Wireshark) IST:]])</f>
        <v>0</v>
      </c>
      <c r="X86" s="9"/>
      <c r="Y86" s="9"/>
      <c r="Z86" s="9"/>
      <c r="AA86" s="9"/>
    </row>
    <row r="87" spans="1:27" x14ac:dyDescent="0.2">
      <c r="A87" s="9">
        <f t="shared" si="12"/>
        <v>86</v>
      </c>
      <c r="B87" s="10" t="s">
        <v>33</v>
      </c>
      <c r="C87" t="s">
        <v>32</v>
      </c>
      <c r="D87" s="2" t="s">
        <v>30</v>
      </c>
      <c r="E87">
        <v>24548571</v>
      </c>
      <c r="F87">
        <v>24548571</v>
      </c>
      <c r="G87" t="s">
        <v>31</v>
      </c>
      <c r="H87" t="s">
        <v>31</v>
      </c>
      <c r="I87">
        <v>4324548571</v>
      </c>
      <c r="J87" t="s">
        <v>48</v>
      </c>
      <c r="K87">
        <v>13136</v>
      </c>
      <c r="L87" s="9" t="str">
        <f t="shared" si="13"/>
        <v>98D3D2-003350</v>
      </c>
      <c r="M87" s="9" t="str">
        <f t="shared" si="14"/>
        <v>98D3D2003350</v>
      </c>
      <c r="N87">
        <v>260521</v>
      </c>
      <c r="O87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24548571&amp;260521&amp;13136&amp;98D3D2-003350&amp;B03</v>
      </c>
      <c r="P87" s="9"/>
      <c r="Q87" s="9" t="b">
        <f>EXACT(Tabelle1[[#This Row],[DMC Kamera SOLL:]],Tabelle1[[#This Row],[DMC Kamera IST:]])</f>
        <v>0</v>
      </c>
      <c r="R87" s="9" t="str">
        <f>"mac_address="&amp;Tabelle1[[#This Row],[MAC 2:]]&amp;"serial_nb=000"&amp;Tabelle1[[#This Row],[SNr.:]]&amp;"device_type="&amp;Tabelle1[[#This Row],[Devicetype:]]</f>
        <v>mac_address=98D3D2003350serial_nb=00013136device_type=rcam_2</v>
      </c>
      <c r="S87" s="9"/>
      <c r="T87" s="9" t="b">
        <f>EXACT(Tabelle1[[#This Row],[Configuration String aus SOME/IP-SD SOLL:]],Tabelle1[[#This Row],[Configuration String aus SOME/IP-SD IST:]])</f>
        <v>0</v>
      </c>
      <c r="U87" s="9" t="str">
        <f>Tabelle1[[#This Row],[snpn:]]&amp;"000"&amp;Tabelle1[[#This Row],[SNr.:]]&amp;LOWER(Tabelle1[[#This Row],[MAC 2:]])</f>
        <v>43245485710001313698d3d2003350</v>
      </c>
      <c r="V87" s="9"/>
      <c r="W87" s="9" t="b">
        <f>EXACT(Tabelle1[[#This Row],[Payload getCamIdentifikation (Wireshark) SOLL:]],Tabelle1[[#This Row],[Payload getCamIdentifikation (Wireshark) IST:]])</f>
        <v>0</v>
      </c>
      <c r="X87" s="9"/>
      <c r="Y87" s="9"/>
      <c r="Z87" s="9"/>
      <c r="AA87" s="9"/>
    </row>
    <row r="88" spans="1:27" x14ac:dyDescent="0.2">
      <c r="A88" s="9">
        <f t="shared" si="12"/>
        <v>87</v>
      </c>
      <c r="B88" s="10" t="s">
        <v>33</v>
      </c>
      <c r="C88" t="s">
        <v>32</v>
      </c>
      <c r="D88" s="2" t="s">
        <v>30</v>
      </c>
      <c r="E88">
        <v>24548571</v>
      </c>
      <c r="F88">
        <v>24548571</v>
      </c>
      <c r="G88" t="s">
        <v>31</v>
      </c>
      <c r="H88" t="s">
        <v>31</v>
      </c>
      <c r="I88">
        <v>4324548571</v>
      </c>
      <c r="J88" t="s">
        <v>48</v>
      </c>
      <c r="K88">
        <v>13137</v>
      </c>
      <c r="L88" s="9" t="str">
        <f t="shared" si="13"/>
        <v>98D3D2-003351</v>
      </c>
      <c r="M88" s="9" t="str">
        <f t="shared" si="14"/>
        <v>98D3D2003351</v>
      </c>
      <c r="N88">
        <v>260521</v>
      </c>
      <c r="O88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24548571&amp;260521&amp;13137&amp;98D3D2-003351&amp;B03</v>
      </c>
      <c r="P88" s="9"/>
      <c r="Q88" s="9" t="b">
        <f>EXACT(Tabelle1[[#This Row],[DMC Kamera SOLL:]],Tabelle1[[#This Row],[DMC Kamera IST:]])</f>
        <v>0</v>
      </c>
      <c r="R88" s="9" t="str">
        <f>"mac_address="&amp;Tabelle1[[#This Row],[MAC 2:]]&amp;"serial_nb=000"&amp;Tabelle1[[#This Row],[SNr.:]]&amp;"device_type="&amp;Tabelle1[[#This Row],[Devicetype:]]</f>
        <v>mac_address=98D3D2003351serial_nb=00013137device_type=rcam_2</v>
      </c>
      <c r="S88" s="9"/>
      <c r="T88" s="9" t="b">
        <f>EXACT(Tabelle1[[#This Row],[Configuration String aus SOME/IP-SD SOLL:]],Tabelle1[[#This Row],[Configuration String aus SOME/IP-SD IST:]])</f>
        <v>0</v>
      </c>
      <c r="U88" s="9" t="str">
        <f>Tabelle1[[#This Row],[snpn:]]&amp;"000"&amp;Tabelle1[[#This Row],[SNr.:]]&amp;LOWER(Tabelle1[[#This Row],[MAC 2:]])</f>
        <v>43245485710001313798d3d2003351</v>
      </c>
      <c r="V88" s="9"/>
      <c r="W88" s="9" t="b">
        <f>EXACT(Tabelle1[[#This Row],[Payload getCamIdentifikation (Wireshark) SOLL:]],Tabelle1[[#This Row],[Payload getCamIdentifikation (Wireshark) IST:]])</f>
        <v>0</v>
      </c>
      <c r="X88" s="9"/>
      <c r="Y88" s="9"/>
      <c r="Z88" s="9"/>
      <c r="AA88" s="9"/>
    </row>
    <row r="89" spans="1:27" x14ac:dyDescent="0.2">
      <c r="A89" s="9">
        <f t="shared" si="12"/>
        <v>88</v>
      </c>
      <c r="B89" s="10" t="s">
        <v>33</v>
      </c>
      <c r="C89" t="s">
        <v>32</v>
      </c>
      <c r="D89" s="2" t="s">
        <v>30</v>
      </c>
      <c r="E89">
        <v>24548571</v>
      </c>
      <c r="F89">
        <v>24548571</v>
      </c>
      <c r="G89" t="s">
        <v>31</v>
      </c>
      <c r="H89" t="s">
        <v>31</v>
      </c>
      <c r="I89">
        <v>4324548571</v>
      </c>
      <c r="J89" t="s">
        <v>48</v>
      </c>
      <c r="K89">
        <v>13138</v>
      </c>
      <c r="L89" s="9" t="str">
        <f t="shared" si="13"/>
        <v>98D3D2-003352</v>
      </c>
      <c r="M89" s="9" t="str">
        <f t="shared" si="14"/>
        <v>98D3D2003352</v>
      </c>
      <c r="N89">
        <v>260521</v>
      </c>
      <c r="O89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24548571&amp;260521&amp;13138&amp;98D3D2-003352&amp;B03</v>
      </c>
      <c r="P89" s="9"/>
      <c r="Q89" s="9" t="b">
        <f>EXACT(Tabelle1[[#This Row],[DMC Kamera SOLL:]],Tabelle1[[#This Row],[DMC Kamera IST:]])</f>
        <v>0</v>
      </c>
      <c r="R89" s="9" t="str">
        <f>"mac_address="&amp;Tabelle1[[#This Row],[MAC 2:]]&amp;"serial_nb=000"&amp;Tabelle1[[#This Row],[SNr.:]]&amp;"device_type="&amp;Tabelle1[[#This Row],[Devicetype:]]</f>
        <v>mac_address=98D3D2003352serial_nb=00013138device_type=rcam_2</v>
      </c>
      <c r="S89" s="9"/>
      <c r="T89" s="9" t="b">
        <f>EXACT(Tabelle1[[#This Row],[Configuration String aus SOME/IP-SD SOLL:]],Tabelle1[[#This Row],[Configuration String aus SOME/IP-SD IST:]])</f>
        <v>0</v>
      </c>
      <c r="U89" s="9" t="str">
        <f>Tabelle1[[#This Row],[snpn:]]&amp;"000"&amp;Tabelle1[[#This Row],[SNr.:]]&amp;LOWER(Tabelle1[[#This Row],[MAC 2:]])</f>
        <v>43245485710001313898d3d2003352</v>
      </c>
      <c r="V89" s="9"/>
      <c r="W89" s="9" t="b">
        <f>EXACT(Tabelle1[[#This Row],[Payload getCamIdentifikation (Wireshark) SOLL:]],Tabelle1[[#This Row],[Payload getCamIdentifikation (Wireshark) IST:]])</f>
        <v>0</v>
      </c>
      <c r="X89" s="9"/>
      <c r="Y89" s="9"/>
      <c r="Z89" s="9"/>
      <c r="AA89" s="9"/>
    </row>
    <row r="90" spans="1:27" x14ac:dyDescent="0.2">
      <c r="A90" s="9">
        <f t="shared" si="12"/>
        <v>89</v>
      </c>
      <c r="B90" s="10" t="s">
        <v>33</v>
      </c>
      <c r="C90" t="s">
        <v>32</v>
      </c>
      <c r="D90" s="2" t="s">
        <v>30</v>
      </c>
      <c r="E90">
        <v>24548571</v>
      </c>
      <c r="F90">
        <v>24548571</v>
      </c>
      <c r="G90" t="s">
        <v>31</v>
      </c>
      <c r="H90" t="s">
        <v>31</v>
      </c>
      <c r="I90">
        <v>4324548571</v>
      </c>
      <c r="J90" t="s">
        <v>48</v>
      </c>
      <c r="K90">
        <v>13139</v>
      </c>
      <c r="L90" s="9" t="str">
        <f t="shared" si="13"/>
        <v>98D3D2-003353</v>
      </c>
      <c r="M90" s="9" t="str">
        <f t="shared" si="14"/>
        <v>98D3D2003353</v>
      </c>
      <c r="N90">
        <v>260521</v>
      </c>
      <c r="O90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24548571&amp;260521&amp;13139&amp;98D3D2-003353&amp;B03</v>
      </c>
      <c r="P90" s="9"/>
      <c r="Q90" s="9" t="b">
        <f>EXACT(Tabelle1[[#This Row],[DMC Kamera SOLL:]],Tabelle1[[#This Row],[DMC Kamera IST:]])</f>
        <v>0</v>
      </c>
      <c r="R90" s="9" t="str">
        <f>"mac_address="&amp;Tabelle1[[#This Row],[MAC 2:]]&amp;"serial_nb=000"&amp;Tabelle1[[#This Row],[SNr.:]]&amp;"device_type="&amp;Tabelle1[[#This Row],[Devicetype:]]</f>
        <v>mac_address=98D3D2003353serial_nb=00013139device_type=rcam_2</v>
      </c>
      <c r="S90" s="9"/>
      <c r="T90" s="9" t="b">
        <f>EXACT(Tabelle1[[#This Row],[Configuration String aus SOME/IP-SD SOLL:]],Tabelle1[[#This Row],[Configuration String aus SOME/IP-SD IST:]])</f>
        <v>0</v>
      </c>
      <c r="U90" s="9" t="str">
        <f>Tabelle1[[#This Row],[snpn:]]&amp;"000"&amp;Tabelle1[[#This Row],[SNr.:]]&amp;LOWER(Tabelle1[[#This Row],[MAC 2:]])</f>
        <v>43245485710001313998d3d2003353</v>
      </c>
      <c r="V90" s="9"/>
      <c r="W90" s="9" t="b">
        <f>EXACT(Tabelle1[[#This Row],[Payload getCamIdentifikation (Wireshark) SOLL:]],Tabelle1[[#This Row],[Payload getCamIdentifikation (Wireshark) IST:]])</f>
        <v>0</v>
      </c>
      <c r="X90" s="9"/>
      <c r="Y90" s="9"/>
      <c r="Z90" s="9"/>
      <c r="AA90" s="9"/>
    </row>
    <row r="91" spans="1:27" x14ac:dyDescent="0.2">
      <c r="A91" s="9">
        <f t="shared" si="12"/>
        <v>90</v>
      </c>
      <c r="B91" s="10" t="s">
        <v>33</v>
      </c>
      <c r="C91" t="s">
        <v>32</v>
      </c>
      <c r="D91" s="2" t="s">
        <v>30</v>
      </c>
      <c r="E91">
        <v>24548571</v>
      </c>
      <c r="F91">
        <v>24548571</v>
      </c>
      <c r="G91" t="s">
        <v>31</v>
      </c>
      <c r="H91" t="s">
        <v>31</v>
      </c>
      <c r="I91">
        <v>4324548571</v>
      </c>
      <c r="J91" t="s">
        <v>48</v>
      </c>
      <c r="K91">
        <v>13140</v>
      </c>
      <c r="L91" s="9" t="str">
        <f t="shared" si="13"/>
        <v>98D3D2-003354</v>
      </c>
      <c r="M91" s="9" t="str">
        <f t="shared" si="14"/>
        <v>98D3D2003354</v>
      </c>
      <c r="N91">
        <v>260521</v>
      </c>
      <c r="O91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24548571&amp;260521&amp;13140&amp;98D3D2-003354&amp;B03</v>
      </c>
      <c r="P91" s="9"/>
      <c r="Q91" s="9" t="b">
        <f>EXACT(Tabelle1[[#This Row],[DMC Kamera SOLL:]],Tabelle1[[#This Row],[DMC Kamera IST:]])</f>
        <v>0</v>
      </c>
      <c r="R91" s="9" t="str">
        <f>"mac_address="&amp;Tabelle1[[#This Row],[MAC 2:]]&amp;"serial_nb=000"&amp;Tabelle1[[#This Row],[SNr.:]]&amp;"device_type="&amp;Tabelle1[[#This Row],[Devicetype:]]</f>
        <v>mac_address=98D3D2003354serial_nb=00013140device_type=rcam_2</v>
      </c>
      <c r="S91" s="9"/>
      <c r="T91" s="9" t="b">
        <f>EXACT(Tabelle1[[#This Row],[Configuration String aus SOME/IP-SD SOLL:]],Tabelle1[[#This Row],[Configuration String aus SOME/IP-SD IST:]])</f>
        <v>0</v>
      </c>
      <c r="U91" s="9" t="str">
        <f>Tabelle1[[#This Row],[snpn:]]&amp;"000"&amp;Tabelle1[[#This Row],[SNr.:]]&amp;LOWER(Tabelle1[[#This Row],[MAC 2:]])</f>
        <v>43245485710001314098d3d2003354</v>
      </c>
      <c r="V91" s="9"/>
      <c r="W91" s="9" t="b">
        <f>EXACT(Tabelle1[[#This Row],[Payload getCamIdentifikation (Wireshark) SOLL:]],Tabelle1[[#This Row],[Payload getCamIdentifikation (Wireshark) IST:]])</f>
        <v>0</v>
      </c>
      <c r="X91" s="9"/>
      <c r="Y91" s="9"/>
      <c r="Z91" s="9"/>
      <c r="AA91" s="9"/>
    </row>
    <row r="92" spans="1:27" x14ac:dyDescent="0.2">
      <c r="A92" s="9">
        <f t="shared" si="12"/>
        <v>91</v>
      </c>
      <c r="B92" s="10" t="s">
        <v>33</v>
      </c>
      <c r="C92" t="s">
        <v>32</v>
      </c>
      <c r="D92" s="2" t="s">
        <v>30</v>
      </c>
      <c r="E92">
        <v>24548571</v>
      </c>
      <c r="F92">
        <v>24548571</v>
      </c>
      <c r="G92" t="s">
        <v>31</v>
      </c>
      <c r="H92" t="s">
        <v>31</v>
      </c>
      <c r="I92">
        <v>4324548571</v>
      </c>
      <c r="J92" t="s">
        <v>48</v>
      </c>
      <c r="K92">
        <v>13141</v>
      </c>
      <c r="L92" s="9" t="str">
        <f t="shared" si="13"/>
        <v>98D3D2-003355</v>
      </c>
      <c r="M92" s="9" t="str">
        <f t="shared" si="14"/>
        <v>98D3D2003355</v>
      </c>
      <c r="N92">
        <v>260521</v>
      </c>
      <c r="O92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24548571&amp;260521&amp;13141&amp;98D3D2-003355&amp;B03</v>
      </c>
      <c r="P92" s="9"/>
      <c r="Q92" s="9" t="b">
        <f>EXACT(Tabelle1[[#This Row],[DMC Kamera SOLL:]],Tabelle1[[#This Row],[DMC Kamera IST:]])</f>
        <v>0</v>
      </c>
      <c r="R92" s="9" t="str">
        <f>"mac_address="&amp;Tabelle1[[#This Row],[MAC 2:]]&amp;"serial_nb=000"&amp;Tabelle1[[#This Row],[SNr.:]]&amp;"device_type="&amp;Tabelle1[[#This Row],[Devicetype:]]</f>
        <v>mac_address=98D3D2003355serial_nb=00013141device_type=rcam_2</v>
      </c>
      <c r="S92" s="9"/>
      <c r="T92" s="9" t="b">
        <f>EXACT(Tabelle1[[#This Row],[Configuration String aus SOME/IP-SD SOLL:]],Tabelle1[[#This Row],[Configuration String aus SOME/IP-SD IST:]])</f>
        <v>0</v>
      </c>
      <c r="U92" s="9" t="str">
        <f>Tabelle1[[#This Row],[snpn:]]&amp;"000"&amp;Tabelle1[[#This Row],[SNr.:]]&amp;LOWER(Tabelle1[[#This Row],[MAC 2:]])</f>
        <v>43245485710001314198d3d2003355</v>
      </c>
      <c r="V92" s="9"/>
      <c r="W92" s="9" t="b">
        <f>EXACT(Tabelle1[[#This Row],[Payload getCamIdentifikation (Wireshark) SOLL:]],Tabelle1[[#This Row],[Payload getCamIdentifikation (Wireshark) IST:]])</f>
        <v>0</v>
      </c>
      <c r="X92" s="9"/>
      <c r="Y92" s="9"/>
      <c r="Z92" s="9"/>
      <c r="AA92" s="9"/>
    </row>
    <row r="93" spans="1:27" x14ac:dyDescent="0.2">
      <c r="A93" s="9">
        <f t="shared" si="12"/>
        <v>92</v>
      </c>
      <c r="B93" s="10" t="s">
        <v>33</v>
      </c>
      <c r="C93" t="s">
        <v>32</v>
      </c>
      <c r="D93" s="2" t="s">
        <v>30</v>
      </c>
      <c r="E93">
        <v>24548571</v>
      </c>
      <c r="F93">
        <v>24548571</v>
      </c>
      <c r="G93" t="s">
        <v>31</v>
      </c>
      <c r="H93" t="s">
        <v>31</v>
      </c>
      <c r="I93">
        <v>4324548571</v>
      </c>
      <c r="J93" t="s">
        <v>48</v>
      </c>
      <c r="K93">
        <v>13142</v>
      </c>
      <c r="L93" s="9" t="str">
        <f t="shared" si="13"/>
        <v>98D3D2-003356</v>
      </c>
      <c r="M93" s="9" t="str">
        <f t="shared" si="14"/>
        <v>98D3D2003356</v>
      </c>
      <c r="N93">
        <v>260521</v>
      </c>
      <c r="O93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24548571&amp;260521&amp;13142&amp;98D3D2-003356&amp;B03</v>
      </c>
      <c r="P93" s="9"/>
      <c r="Q93" s="9" t="b">
        <f>EXACT(Tabelle1[[#This Row],[DMC Kamera SOLL:]],Tabelle1[[#This Row],[DMC Kamera IST:]])</f>
        <v>0</v>
      </c>
      <c r="R93" s="9" t="str">
        <f>"mac_address="&amp;Tabelle1[[#This Row],[MAC 2:]]&amp;"serial_nb=000"&amp;Tabelle1[[#This Row],[SNr.:]]&amp;"device_type="&amp;Tabelle1[[#This Row],[Devicetype:]]</f>
        <v>mac_address=98D3D2003356serial_nb=00013142device_type=rcam_2</v>
      </c>
      <c r="S93" s="9"/>
      <c r="T93" s="9" t="b">
        <f>EXACT(Tabelle1[[#This Row],[Configuration String aus SOME/IP-SD SOLL:]],Tabelle1[[#This Row],[Configuration String aus SOME/IP-SD IST:]])</f>
        <v>0</v>
      </c>
      <c r="U93" s="9" t="str">
        <f>Tabelle1[[#This Row],[snpn:]]&amp;"000"&amp;Tabelle1[[#This Row],[SNr.:]]&amp;LOWER(Tabelle1[[#This Row],[MAC 2:]])</f>
        <v>43245485710001314298d3d2003356</v>
      </c>
      <c r="V93" s="9"/>
      <c r="W93" s="9" t="b">
        <f>EXACT(Tabelle1[[#This Row],[Payload getCamIdentifikation (Wireshark) SOLL:]],Tabelle1[[#This Row],[Payload getCamIdentifikation (Wireshark) IST:]])</f>
        <v>0</v>
      </c>
      <c r="X93" s="9"/>
      <c r="Y93" s="9"/>
      <c r="Z93" s="9"/>
      <c r="AA93" s="9"/>
    </row>
    <row r="94" spans="1:27" x14ac:dyDescent="0.2">
      <c r="A94" s="9">
        <f t="shared" ref="A94:A96" si="15">ROW()-1</f>
        <v>93</v>
      </c>
      <c r="B94" s="10" t="s">
        <v>33</v>
      </c>
      <c r="C94" t="s">
        <v>32</v>
      </c>
      <c r="D94" s="2" t="s">
        <v>30</v>
      </c>
      <c r="E94">
        <v>24548571</v>
      </c>
      <c r="F94">
        <v>24548571</v>
      </c>
      <c r="G94" t="s">
        <v>31</v>
      </c>
      <c r="H94" t="s">
        <v>31</v>
      </c>
      <c r="I94">
        <v>4324548571</v>
      </c>
      <c r="J94" t="s">
        <v>48</v>
      </c>
      <c r="K94">
        <v>12951</v>
      </c>
      <c r="L94" s="9" t="str">
        <f t="shared" ref="L94:L96" si="16">"98D3D2-00"&amp;DEC2HEX(K94)</f>
        <v>98D3D2-003297</v>
      </c>
      <c r="M94" s="9" t="str">
        <f t="shared" ref="M94:M96" si="17">"98D3D200"&amp;DEC2HEX(K94)</f>
        <v>98D3D2003297</v>
      </c>
      <c r="N94">
        <v>260521</v>
      </c>
      <c r="O94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24548571&amp;260521&amp;12951&amp;98D3D2-003297&amp;B03</v>
      </c>
      <c r="P94" s="9"/>
      <c r="Q94" s="9" t="b">
        <f>EXACT(Tabelle1[[#This Row],[DMC Kamera SOLL:]],Tabelle1[[#This Row],[DMC Kamera IST:]])</f>
        <v>0</v>
      </c>
      <c r="R94" s="9" t="str">
        <f>"mac_address="&amp;Tabelle1[[#This Row],[MAC 2:]]&amp;"serial_nb=000"&amp;Tabelle1[[#This Row],[SNr.:]]&amp;"device_type="&amp;Tabelle1[[#This Row],[Devicetype:]]</f>
        <v>mac_address=98D3D2003297serial_nb=00012951device_type=rcam_2</v>
      </c>
      <c r="S94" s="9"/>
      <c r="T94" s="9" t="b">
        <f>EXACT(Tabelle1[[#This Row],[Configuration String aus SOME/IP-SD SOLL:]],Tabelle1[[#This Row],[Configuration String aus SOME/IP-SD IST:]])</f>
        <v>0</v>
      </c>
      <c r="U94" s="9" t="str">
        <f>Tabelle1[[#This Row],[snpn:]]&amp;"000"&amp;Tabelle1[[#This Row],[SNr.:]]&amp;LOWER(Tabelle1[[#This Row],[MAC 2:]])</f>
        <v>43245485710001295198d3d2003297</v>
      </c>
      <c r="V94" s="9"/>
      <c r="W94" s="9" t="b">
        <f>EXACT(Tabelle1[[#This Row],[Payload getCamIdentifikation (Wireshark) SOLL:]],Tabelle1[[#This Row],[Payload getCamIdentifikation (Wireshark) IST:]])</f>
        <v>0</v>
      </c>
      <c r="X94" s="9"/>
      <c r="Y94" s="9"/>
      <c r="Z94" s="9"/>
      <c r="AA94" s="9"/>
    </row>
    <row r="95" spans="1:27" x14ac:dyDescent="0.2">
      <c r="A95" s="9">
        <f t="shared" si="15"/>
        <v>94</v>
      </c>
      <c r="B95" s="10" t="s">
        <v>33</v>
      </c>
      <c r="C95" t="s">
        <v>32</v>
      </c>
      <c r="D95" s="2" t="s">
        <v>30</v>
      </c>
      <c r="E95">
        <v>24548571</v>
      </c>
      <c r="F95">
        <v>24548571</v>
      </c>
      <c r="G95" t="s">
        <v>31</v>
      </c>
      <c r="H95" t="s">
        <v>31</v>
      </c>
      <c r="I95">
        <v>4324548571</v>
      </c>
      <c r="J95" t="s">
        <v>48</v>
      </c>
      <c r="K95">
        <v>12952</v>
      </c>
      <c r="L95" s="9" t="str">
        <f t="shared" si="16"/>
        <v>98D3D2-003298</v>
      </c>
      <c r="M95" s="9" t="str">
        <f t="shared" si="17"/>
        <v>98D3D2003298</v>
      </c>
      <c r="N95">
        <v>260521</v>
      </c>
      <c r="O95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24548571&amp;260521&amp;12952&amp;98D3D2-003298&amp;B03</v>
      </c>
      <c r="P95" s="9"/>
      <c r="Q95" s="9" t="b">
        <f>EXACT(Tabelle1[[#This Row],[DMC Kamera SOLL:]],Tabelle1[[#This Row],[DMC Kamera IST:]])</f>
        <v>0</v>
      </c>
      <c r="R95" s="9" t="str">
        <f>"mac_address="&amp;Tabelle1[[#This Row],[MAC 2:]]&amp;"serial_nb=000"&amp;Tabelle1[[#This Row],[SNr.:]]&amp;"device_type="&amp;Tabelle1[[#This Row],[Devicetype:]]</f>
        <v>mac_address=98D3D2003298serial_nb=00012952device_type=rcam_2</v>
      </c>
      <c r="S95" s="9"/>
      <c r="T95" s="9" t="b">
        <f>EXACT(Tabelle1[[#This Row],[Configuration String aus SOME/IP-SD SOLL:]],Tabelle1[[#This Row],[Configuration String aus SOME/IP-SD IST:]])</f>
        <v>0</v>
      </c>
      <c r="U95" s="9" t="str">
        <f>Tabelle1[[#This Row],[snpn:]]&amp;"000"&amp;Tabelle1[[#This Row],[SNr.:]]&amp;LOWER(Tabelle1[[#This Row],[MAC 2:]])</f>
        <v>43245485710001295298d3d2003298</v>
      </c>
      <c r="V95" s="9"/>
      <c r="W95" s="9" t="b">
        <f>EXACT(Tabelle1[[#This Row],[Payload getCamIdentifikation (Wireshark) SOLL:]],Tabelle1[[#This Row],[Payload getCamIdentifikation (Wireshark) IST:]])</f>
        <v>0</v>
      </c>
      <c r="X95" s="9"/>
      <c r="Y95" s="9"/>
      <c r="Z95" s="9"/>
      <c r="AA95" s="9"/>
    </row>
    <row r="96" spans="1:27" x14ac:dyDescent="0.2">
      <c r="A96" s="9">
        <f t="shared" si="15"/>
        <v>95</v>
      </c>
      <c r="B96" s="10" t="s">
        <v>33</v>
      </c>
      <c r="C96" t="s">
        <v>32</v>
      </c>
      <c r="D96" s="2" t="s">
        <v>30</v>
      </c>
      <c r="E96">
        <v>24548571</v>
      </c>
      <c r="F96">
        <v>24548571</v>
      </c>
      <c r="G96" t="s">
        <v>31</v>
      </c>
      <c r="H96" t="s">
        <v>31</v>
      </c>
      <c r="I96">
        <v>4324548571</v>
      </c>
      <c r="J96" t="s">
        <v>48</v>
      </c>
      <c r="K96">
        <v>12953</v>
      </c>
      <c r="L96" s="9" t="str">
        <f t="shared" si="16"/>
        <v>98D3D2-003299</v>
      </c>
      <c r="M96" s="9" t="str">
        <f t="shared" si="17"/>
        <v>98D3D2003299</v>
      </c>
      <c r="N96">
        <v>260521</v>
      </c>
      <c r="O96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24548571&amp;260521&amp;12953&amp;98D3D2-003299&amp;B03</v>
      </c>
      <c r="P96" s="9"/>
      <c r="Q96" s="9" t="b">
        <f>EXACT(Tabelle1[[#This Row],[DMC Kamera SOLL:]],Tabelle1[[#This Row],[DMC Kamera IST:]])</f>
        <v>0</v>
      </c>
      <c r="R96" s="9" t="str">
        <f>"mac_address="&amp;Tabelle1[[#This Row],[MAC 2:]]&amp;"serial_nb=000"&amp;Tabelle1[[#This Row],[SNr.:]]&amp;"device_type="&amp;Tabelle1[[#This Row],[Devicetype:]]</f>
        <v>mac_address=98D3D2003299serial_nb=00012953device_type=rcam_2</v>
      </c>
      <c r="S96" s="9"/>
      <c r="T96" s="9" t="b">
        <f>EXACT(Tabelle1[[#This Row],[Configuration String aus SOME/IP-SD SOLL:]],Tabelle1[[#This Row],[Configuration String aus SOME/IP-SD IST:]])</f>
        <v>0</v>
      </c>
      <c r="U96" s="9" t="str">
        <f>Tabelle1[[#This Row],[snpn:]]&amp;"000"&amp;Tabelle1[[#This Row],[SNr.:]]&amp;LOWER(Tabelle1[[#This Row],[MAC 2:]])</f>
        <v>43245485710001295398d3d2003299</v>
      </c>
      <c r="V96" s="9"/>
      <c r="W96" s="9" t="b">
        <f>EXACT(Tabelle1[[#This Row],[Payload getCamIdentifikation (Wireshark) SOLL:]],Tabelle1[[#This Row],[Payload getCamIdentifikation (Wireshark) IST:]])</f>
        <v>0</v>
      </c>
      <c r="X96" s="9"/>
      <c r="Y96" s="9"/>
      <c r="Z96" s="9"/>
      <c r="AA96" s="9"/>
    </row>
  </sheetData>
  <phoneticPr fontId="8" type="noConversion"/>
  <conditionalFormatting sqref="Q1:Q96 W1:W96 T2:T96">
    <cfRule type="cellIs" dxfId="6" priority="13" operator="equal">
      <formula>TRUE</formula>
    </cfRule>
    <cfRule type="cellIs" dxfId="5" priority="14" operator="equal">
      <formula>FALSE</formula>
    </cfRule>
  </conditionalFormatting>
  <conditionalFormatting sqref="X1:Z1048576">
    <cfRule type="cellIs" dxfId="4" priority="3" operator="equal">
      <formula>"NOK"</formula>
    </cfRule>
    <cfRule type="cellIs" dxfId="3" priority="4" operator="equal">
      <formula>"OK"</formula>
    </cfRule>
  </conditionalFormatting>
  <conditionalFormatting sqref="AA2:AA96">
    <cfRule type="cellIs" dxfId="2" priority="5" operator="between">
      <formula>0.08</formula>
      <formula>0.24</formula>
    </cfRule>
    <cfRule type="cellIs" dxfId="1" priority="6" operator="lessThan">
      <formula>0.08</formula>
    </cfRule>
    <cfRule type="cellIs" dxfId="0" priority="7" operator="greaterThan">
      <formula>0.24</formula>
    </cfRule>
  </conditionalFormatting>
  <pageMargins left="0.7" right="0.7" top="0.78740157499999996" bottom="0.78740157499999996" header="0.3" footer="0.3"/>
  <pageSetup paperSize="9" orientation="portrait" verticalDpi="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lookup!$A:$A</xm:f>
          </x14:formula1>
          <xm:sqref>X2:X96</xm:sqref>
        </x14:dataValidation>
        <x14:dataValidation type="list" allowBlank="1" showInputMessage="1" showErrorMessage="1" xr:uid="{00000000-0002-0000-0000-000001000000}">
          <x14:formula1>
            <xm:f>lookup!$A$1:$A$2</xm:f>
          </x14:formula1>
          <xm:sqref>Y2:Y96</xm:sqref>
        </x14:dataValidation>
        <x14:dataValidation type="list" allowBlank="1" showInputMessage="1" showErrorMessage="1" xr:uid="{00000000-0002-0000-0000-000002000000}">
          <x14:formula1>
            <xm:f>lookup!$B$1:$B$3</xm:f>
          </x14:formula1>
          <xm:sqref>Z2:Z96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3" sqref="A3"/>
    </sheetView>
  </sheetViews>
  <sheetFormatPr baseColWidth="10" defaultRowHeight="14.25" x14ac:dyDescent="0.2"/>
  <sheetData>
    <row r="1" spans="1:2" x14ac:dyDescent="0.2">
      <c r="A1" t="s">
        <v>20</v>
      </c>
      <c r="B1" t="s">
        <v>20</v>
      </c>
    </row>
    <row r="2" spans="1:2" x14ac:dyDescent="0.2">
      <c r="A2" t="s">
        <v>21</v>
      </c>
      <c r="B2" t="s">
        <v>21</v>
      </c>
    </row>
    <row r="3" spans="1:2" x14ac:dyDescent="0.2">
      <c r="B3" t="s">
        <v>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C0-Build</vt:lpstr>
      <vt:lpstr>lookup</vt:lpstr>
    </vt:vector>
  </TitlesOfParts>
  <Company>MEKRA Lang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Völler, Jonas</dc:creator>
  <cp:lastModifiedBy>Reiner, Stefan</cp:lastModifiedBy>
  <dcterms:created xsi:type="dcterms:W3CDTF">2025-11-11T10:42:12Z</dcterms:created>
  <dcterms:modified xsi:type="dcterms:W3CDTF">2026-05-28T14:42:55Z</dcterms:modified>
</cp:coreProperties>
</file>