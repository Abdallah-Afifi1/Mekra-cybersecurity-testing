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E78457AC-D9F9-40FB-954E-049C649899B9}" xr6:coauthVersionLast="36" xr6:coauthVersionMax="36" xr10:uidLastSave="{00000000-0000-0000-0000-000000000000}"/>
  <bookViews>
    <workbookView xWindow="0" yWindow="0" windowWidth="26295" windowHeight="123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4" i="1" l="1"/>
  <c r="D80" i="1"/>
  <c r="D76" i="1"/>
  <c r="D72" i="1"/>
  <c r="D65" i="1"/>
  <c r="D61" i="1"/>
  <c r="D57" i="1"/>
  <c r="G89" i="1" l="1"/>
  <c r="G86" i="1"/>
  <c r="G85" i="1"/>
  <c r="G82" i="1"/>
  <c r="G81" i="1"/>
  <c r="G78" i="1"/>
  <c r="G77" i="1"/>
  <c r="G74" i="1"/>
  <c r="G73" i="1"/>
  <c r="G70" i="1"/>
  <c r="G69" i="1"/>
  <c r="G67" i="1"/>
  <c r="G66" i="1"/>
  <c r="G63" i="1"/>
  <c r="G62" i="1"/>
  <c r="G59" i="1" l="1"/>
  <c r="G58" i="1"/>
  <c r="G87" i="1"/>
  <c r="G84" i="1"/>
  <c r="D91" i="1" l="1"/>
  <c r="G24" i="1"/>
  <c r="G23" i="1"/>
  <c r="G22" i="1"/>
  <c r="G21" i="1"/>
  <c r="F91" i="1" l="1"/>
  <c r="G15" i="1" l="1"/>
  <c r="G16" i="1"/>
  <c r="G17" i="1"/>
  <c r="G18" i="1"/>
  <c r="G19" i="1"/>
  <c r="G20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14" i="1"/>
  <c r="F52" i="1"/>
  <c r="G90" i="1"/>
  <c r="G83" i="1"/>
  <c r="G79" i="1"/>
  <c r="G75" i="1"/>
  <c r="G71" i="1"/>
  <c r="G68" i="1"/>
  <c r="G64" i="1"/>
  <c r="G60" i="1"/>
  <c r="G61" i="1"/>
  <c r="G65" i="1"/>
  <c r="G72" i="1"/>
  <c r="G76" i="1"/>
  <c r="G80" i="1"/>
  <c r="G88" i="1"/>
  <c r="G57" i="1"/>
  <c r="G52" i="1" l="1"/>
  <c r="F9" i="1" s="1"/>
  <c r="G91" i="1"/>
  <c r="F10" i="1" s="1"/>
</calcChain>
</file>

<file path=xl/sharedStrings.xml><?xml version="1.0" encoding="utf-8"?>
<sst xmlns="http://schemas.openxmlformats.org/spreadsheetml/2006/main" count="176" uniqueCount="106">
  <si>
    <t>Part Number</t>
  </si>
  <si>
    <t>Device</t>
  </si>
  <si>
    <t>Package</t>
  </si>
  <si>
    <t>Vcc</t>
  </si>
  <si>
    <t>Total Failure Rate</t>
  </si>
  <si>
    <t>Part number</t>
  </si>
  <si>
    <t>Failure mode</t>
  </si>
  <si>
    <t>Failure rate (FIT)</t>
  </si>
  <si>
    <t>Die related functional failure</t>
  </si>
  <si>
    <t>Package related open/short failure</t>
  </si>
  <si>
    <t>Function Block</t>
  </si>
  <si>
    <t>FIT(Block)</t>
  </si>
  <si>
    <t>Failure Mode</t>
  </si>
  <si>
    <t>Raito</t>
  </si>
  <si>
    <t>FIT</t>
  </si>
  <si>
    <t>Memory Array</t>
  </si>
  <si>
    <t>Total</t>
  </si>
  <si>
    <t>Package Failure Mode Distribution</t>
  </si>
  <si>
    <t>Die Failure Mode Distribution</t>
  </si>
  <si>
    <t>Pin No.</t>
  </si>
  <si>
    <t>Pin Name</t>
  </si>
  <si>
    <t>CE#</t>
  </si>
  <si>
    <t>OPEN</t>
  </si>
  <si>
    <t>SO(IO1)</t>
  </si>
  <si>
    <t>WP#(IO2)</t>
  </si>
  <si>
    <t>GND</t>
  </si>
  <si>
    <t>SI(IO0)</t>
  </si>
  <si>
    <t>SCK</t>
  </si>
  <si>
    <t>TOTAL FIT =</t>
  </si>
  <si>
    <t>FIT
(PIN)</t>
  </si>
  <si>
    <t>Device Information</t>
  </si>
  <si>
    <t>Control logic</t>
  </si>
  <si>
    <t>Memory access command fail</t>
  </si>
  <si>
    <t>Wrap around fail</t>
  </si>
  <si>
    <t>Wrap length fail</t>
  </si>
  <si>
    <t>Output driver strength fail</t>
  </si>
  <si>
    <t>Status resister set corrupted</t>
  </si>
  <si>
    <t>Wrong command fail</t>
  </si>
  <si>
    <t>Serial Peripheral Interface</t>
  </si>
  <si>
    <t>no read signal is generated</t>
  </si>
  <si>
    <t>no write signal is generated</t>
  </si>
  <si>
    <t xml:space="preserve">Latched wrong address from external </t>
  </si>
  <si>
    <t>latched wrong address</t>
  </si>
  <si>
    <t>latched wrong data</t>
  </si>
  <si>
    <t>Address latch &amp; Counter</t>
  </si>
  <si>
    <t>X-Decoder</t>
  </si>
  <si>
    <t>Y-Decoder</t>
  </si>
  <si>
    <t>I/O Buffers and Data Latches</t>
  </si>
  <si>
    <t>Data sensing  fail (1 bit)</t>
  </si>
  <si>
    <t>Data sensing  fail (multi bit)</t>
  </si>
  <si>
    <t>Read FIFO latch corrupted</t>
  </si>
  <si>
    <t>Read Burst order corrupted</t>
  </si>
  <si>
    <t xml:space="preserve">Read driver fail </t>
  </si>
  <si>
    <t xml:space="preserve">Write driver fail </t>
  </si>
  <si>
    <t>256 Bytes Page Buffer</t>
  </si>
  <si>
    <t>One bit fail</t>
  </si>
  <si>
    <t>Multi bits fail</t>
  </si>
  <si>
    <t>High Voltage Generators</t>
  </si>
  <si>
    <t>Output voltage higher than a high threshold of the prescribed range</t>
  </si>
  <si>
    <t xml:space="preserve">Output voltage lower than a low threshold of the prescribed range </t>
  </si>
  <si>
    <t>Output voltage affected by spikes</t>
  </si>
  <si>
    <t>Incorrect start-up time (i.e. outside the expected range)</t>
  </si>
  <si>
    <t>Output voltage accuracy too low, including drift</t>
  </si>
  <si>
    <t>Output voltage affected by a fast oscillation outside the prescribed range but with average value within the prescribed range</t>
  </si>
  <si>
    <t>Status Register</t>
  </si>
  <si>
    <t xml:space="preserve">Unwanted test mode is enable </t>
  </si>
  <si>
    <t>Block number</t>
    <phoneticPr fontId="4" type="noConversion"/>
  </si>
  <si>
    <t>Failure Effect</t>
    <phoneticPr fontId="4" type="noConversion"/>
  </si>
  <si>
    <t>read fail,program fail,erase fail</t>
    <phoneticPr fontId="4" type="noConversion"/>
  </si>
  <si>
    <t>read fail</t>
    <phoneticPr fontId="4" type="noConversion"/>
  </si>
  <si>
    <t>read fail,program fail,erase fail</t>
  </si>
  <si>
    <t>read fail</t>
  </si>
  <si>
    <t>program fail,erase fail</t>
    <phoneticPr fontId="4" type="noConversion"/>
  </si>
  <si>
    <t>program fail</t>
    <phoneticPr fontId="4" type="noConversion"/>
  </si>
  <si>
    <t>program fail,erase fail</t>
  </si>
  <si>
    <t>FMK127B</t>
  </si>
  <si>
    <t>Latched wrong internal address</t>
    <phoneticPr fontId="4" type="noConversion"/>
  </si>
  <si>
    <t>Latched wrong op-code address</t>
    <phoneticPr fontId="4" type="noConversion"/>
  </si>
  <si>
    <t xml:space="preserve">Wrong row address is selected </t>
    <phoneticPr fontId="4" type="noConversion"/>
  </si>
  <si>
    <t xml:space="preserve">Two or more row addresses are selected </t>
    <phoneticPr fontId="4" type="noConversion"/>
  </si>
  <si>
    <t>No row address is selected</t>
    <phoneticPr fontId="4" type="noConversion"/>
  </si>
  <si>
    <t xml:space="preserve">latched wrong column address </t>
    <phoneticPr fontId="4" type="noConversion"/>
  </si>
  <si>
    <t xml:space="preserve">Two or more column addresses are selected </t>
    <phoneticPr fontId="4" type="noConversion"/>
  </si>
  <si>
    <t>No column address is selected</t>
    <phoneticPr fontId="4" type="noConversion"/>
  </si>
  <si>
    <t>SHORT to Ground</t>
  </si>
  <si>
    <t>SHORT to Ground</t>
    <phoneticPr fontId="4" type="noConversion"/>
  </si>
  <si>
    <t>SHORT to Vcc</t>
  </si>
  <si>
    <t>SHORT to Vcc</t>
    <phoneticPr fontId="4" type="noConversion"/>
  </si>
  <si>
    <t>SHORT to neighboring pins</t>
  </si>
  <si>
    <t>SHORT to neighboring pins</t>
    <phoneticPr fontId="4" type="noConversion"/>
  </si>
  <si>
    <t>RESET# or NC</t>
    <phoneticPr fontId="4" type="noConversion"/>
  </si>
  <si>
    <t>HOLD# or RESET#(IO3)</t>
    <phoneticPr fontId="4" type="noConversion"/>
  </si>
  <si>
    <t>FMD257B0</t>
    <phoneticPr fontId="4" type="noConversion"/>
  </si>
  <si>
    <t>1.8 V</t>
    <phoneticPr fontId="4" type="noConversion"/>
  </si>
  <si>
    <t>IS25WP01G-RILA3</t>
    <phoneticPr fontId="4" type="noConversion"/>
  </si>
  <si>
    <t>24-ball LFBGA 
6x8mm</t>
    <phoneticPr fontId="4" type="noConversion"/>
  </si>
  <si>
    <t>24-ball LFBGA 6x8mm 5x5ball array</t>
    <phoneticPr fontId="4" type="noConversion"/>
  </si>
  <si>
    <t>C2</t>
    <phoneticPr fontId="4" type="noConversion"/>
  </si>
  <si>
    <t>A4</t>
    <phoneticPr fontId="4" type="noConversion"/>
  </si>
  <si>
    <t>B2</t>
    <phoneticPr fontId="4" type="noConversion"/>
  </si>
  <si>
    <t>B3</t>
    <phoneticPr fontId="4" type="noConversion"/>
  </si>
  <si>
    <t>B4</t>
    <phoneticPr fontId="4" type="noConversion"/>
  </si>
  <si>
    <t>C4</t>
    <phoneticPr fontId="4" type="noConversion"/>
  </si>
  <si>
    <t>D2</t>
    <phoneticPr fontId="4" type="noConversion"/>
  </si>
  <si>
    <t>D3</t>
    <phoneticPr fontId="4" type="noConversion"/>
  </si>
  <si>
    <t>D4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</si>
</sst>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%"/>
    <numFmt numFmtId="178" formatCode="0.00000_ "/>
    <numFmt numFmtId="179" formatCode="0.0000000000"/>
  </numFmts>
  <fonts count="7" x14ac:knownFonts="1">
    <font>
      <sz val="11"/>
      <color theme="1"/>
      <name val="新細明體"/>
      <family val="2"/>
      <scheme val="minor"/>
    </font>
    <font>
      <b/>
      <sz val="9"/>
      <color rgb="FFFFFFFF"/>
      <name val="Arial Rounded MT Bold"/>
      <family val="2"/>
    </font>
    <font>
      <sz val="12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/>
  </cellStyleXfs>
  <cellXfs count="5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3" fillId="0" borderId="10" xfId="0" applyFont="1" applyBorder="1" applyAlignment="1">
      <alignment horizontal="right" vertical="center"/>
    </xf>
    <xf numFmtId="0" fontId="1" fillId="2" borderId="14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textRotation="90" wrapText="1"/>
    </xf>
    <xf numFmtId="10" fontId="0" fillId="0" borderId="0" xfId="0" applyNumberFormat="1"/>
    <xf numFmtId="177" fontId="3" fillId="0" borderId="6" xfId="0" applyNumberFormat="1" applyFont="1" applyBorder="1" applyAlignment="1">
      <alignment vertical="center"/>
    </xf>
    <xf numFmtId="10" fontId="3" fillId="0" borderId="6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textRotation="90" wrapText="1"/>
    </xf>
    <xf numFmtId="178" fontId="2" fillId="0" borderId="6" xfId="0" applyNumberFormat="1" applyFont="1" applyBorder="1" applyAlignment="1">
      <alignment horizontal="center" vertical="center" wrapText="1"/>
    </xf>
    <xf numFmtId="177" fontId="3" fillId="0" borderId="7" xfId="0" applyNumberFormat="1" applyFont="1" applyBorder="1" applyAlignment="1">
      <alignment vertical="center"/>
    </xf>
    <xf numFmtId="177" fontId="3" fillId="0" borderId="3" xfId="0" applyNumberFormat="1" applyFont="1" applyBorder="1" applyAlignment="1">
      <alignment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79" fontId="3" fillId="0" borderId="10" xfId="0" applyNumberFormat="1" applyFont="1" applyBorder="1" applyAlignment="1">
      <alignment horizontal="right" vertical="center"/>
    </xf>
    <xf numFmtId="179" fontId="3" fillId="0" borderId="0" xfId="0" applyNumberFormat="1" applyFont="1" applyBorder="1" applyAlignment="1">
      <alignment horizontal="right" vertical="center"/>
    </xf>
    <xf numFmtId="179" fontId="3" fillId="0" borderId="3" xfId="0" applyNumberFormat="1" applyFont="1" applyBorder="1" applyAlignment="1">
      <alignment horizontal="right" vertical="center"/>
    </xf>
    <xf numFmtId="179" fontId="3" fillId="0" borderId="6" xfId="0" applyNumberFormat="1" applyFont="1" applyBorder="1" applyAlignment="1">
      <alignment horizontal="righ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">
    <cellStyle name="Standard 5" xfId="3" xr:uid="{BB9F571D-BAB6-4F74-B6B5-CDA141ACCDD3}"/>
    <cellStyle name="一般" xfId="0" builtinId="0"/>
    <cellStyle name="一般 3" xfId="1" xr:uid="{C068AED2-4D7A-4C70-988E-3ACD5DE795A5}"/>
    <cellStyle name="百分比 2" xfId="2" xr:uid="{E86B2116-4442-4C79-88C4-EC5F841F3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3"/>
  <sheetViews>
    <sheetView tabSelected="1" topLeftCell="A4" workbookViewId="0">
      <selection activeCell="L47" sqref="L47"/>
    </sheetView>
  </sheetViews>
  <sheetFormatPr defaultRowHeight="15.75" x14ac:dyDescent="0.25"/>
  <cols>
    <col min="2" max="2" width="17.42578125" customWidth="1"/>
    <col min="3" max="3" width="27.28515625" bestFit="1" customWidth="1"/>
    <col min="4" max="4" width="17.7109375" customWidth="1"/>
    <col min="5" max="5" width="31.7109375" customWidth="1"/>
    <col min="6" max="6" width="15.85546875" customWidth="1"/>
    <col min="7" max="7" width="14.85546875" customWidth="1"/>
    <col min="8" max="8" width="20.7109375" customWidth="1"/>
  </cols>
  <sheetData>
    <row r="1" spans="2:9" x14ac:dyDescent="0.25">
      <c r="B1" t="s">
        <v>30</v>
      </c>
    </row>
    <row r="2" spans="2:9" x14ac:dyDescent="0.25">
      <c r="B2" s="1" t="s">
        <v>0</v>
      </c>
      <c r="C2" s="1" t="s">
        <v>94</v>
      </c>
    </row>
    <row r="3" spans="2:9" x14ac:dyDescent="0.25">
      <c r="B3" s="1" t="s">
        <v>1</v>
      </c>
      <c r="C3" s="1" t="s">
        <v>92</v>
      </c>
    </row>
    <row r="4" spans="2:9" ht="31.5" x14ac:dyDescent="0.25">
      <c r="B4" s="30" t="s">
        <v>2</v>
      </c>
      <c r="C4" s="29" t="s">
        <v>96</v>
      </c>
    </row>
    <row r="5" spans="2:9" x14ac:dyDescent="0.25">
      <c r="B5" s="1" t="s">
        <v>3</v>
      </c>
      <c r="C5" s="1" t="s">
        <v>93</v>
      </c>
    </row>
    <row r="7" spans="2:9" ht="16.5" thickBot="1" x14ac:dyDescent="0.3">
      <c r="B7" t="s">
        <v>4</v>
      </c>
    </row>
    <row r="8" spans="2:9" ht="83.45" customHeight="1" thickBot="1" x14ac:dyDescent="0.3">
      <c r="B8" s="2" t="s">
        <v>5</v>
      </c>
      <c r="C8" s="3" t="s">
        <v>1</v>
      </c>
      <c r="D8" s="3" t="s">
        <v>2</v>
      </c>
      <c r="E8" s="3" t="s">
        <v>6</v>
      </c>
      <c r="F8" s="3" t="s">
        <v>7</v>
      </c>
    </row>
    <row r="9" spans="2:9" ht="16.899999999999999" customHeight="1" thickBot="1" x14ac:dyDescent="0.3">
      <c r="B9" s="46" t="s">
        <v>94</v>
      </c>
      <c r="C9" s="46" t="s">
        <v>92</v>
      </c>
      <c r="D9" s="46" t="s">
        <v>95</v>
      </c>
      <c r="E9" s="10" t="s">
        <v>8</v>
      </c>
      <c r="F9" s="19">
        <f>G52</f>
        <v>58.659223391448343</v>
      </c>
    </row>
    <row r="10" spans="2:9" ht="17.25" thickBot="1" x14ac:dyDescent="0.3">
      <c r="B10" s="47"/>
      <c r="C10" s="47" t="s">
        <v>75</v>
      </c>
      <c r="D10" s="47"/>
      <c r="E10" s="10" t="s">
        <v>9</v>
      </c>
      <c r="F10" s="19">
        <f>G91</f>
        <v>56.167099999999984</v>
      </c>
    </row>
    <row r="12" spans="2:9" ht="16.5" thickBot="1" x14ac:dyDescent="0.3">
      <c r="B12" t="s">
        <v>18</v>
      </c>
    </row>
    <row r="13" spans="2:9" ht="88.15" customHeight="1" thickBot="1" x14ac:dyDescent="0.3">
      <c r="B13" s="2" t="s">
        <v>66</v>
      </c>
      <c r="C13" s="12" t="s">
        <v>10</v>
      </c>
      <c r="D13" s="2" t="s">
        <v>11</v>
      </c>
      <c r="E13" s="13" t="s">
        <v>12</v>
      </c>
      <c r="F13" s="13" t="s">
        <v>13</v>
      </c>
      <c r="G13" s="12" t="s">
        <v>14</v>
      </c>
      <c r="H13" s="12" t="s">
        <v>67</v>
      </c>
      <c r="I13" s="18"/>
    </row>
    <row r="14" spans="2:9" ht="32.25" thickBot="1" x14ac:dyDescent="0.3">
      <c r="B14" s="31">
        <v>1</v>
      </c>
      <c r="C14" s="48" t="s">
        <v>31</v>
      </c>
      <c r="D14" s="22">
        <v>3.8831106403932307E-4</v>
      </c>
      <c r="E14" s="23" t="s">
        <v>32</v>
      </c>
      <c r="F14" s="15">
        <v>0.35</v>
      </c>
      <c r="G14" s="25">
        <f>D14*F14</f>
        <v>1.3590887241376307E-4</v>
      </c>
      <c r="H14" s="23" t="s">
        <v>68</v>
      </c>
      <c r="I14" s="17"/>
    </row>
    <row r="15" spans="2:9" ht="16.5" thickBot="1" x14ac:dyDescent="0.3">
      <c r="B15" s="42"/>
      <c r="C15" s="45"/>
      <c r="D15" s="22">
        <v>3.8831106403932307E-4</v>
      </c>
      <c r="E15" s="23" t="s">
        <v>33</v>
      </c>
      <c r="F15" s="15">
        <v>0.03</v>
      </c>
      <c r="G15" s="25">
        <f t="shared" ref="G15:G51" si="0">D15*F15</f>
        <v>1.1649331921179691E-5</v>
      </c>
      <c r="H15" s="23" t="s">
        <v>69</v>
      </c>
      <c r="I15" s="17"/>
    </row>
    <row r="16" spans="2:9" ht="16.5" thickBot="1" x14ac:dyDescent="0.3">
      <c r="B16" s="42"/>
      <c r="C16" s="45"/>
      <c r="D16" s="22">
        <v>3.8831106403932307E-4</v>
      </c>
      <c r="E16" s="23" t="s">
        <v>34</v>
      </c>
      <c r="F16" s="15">
        <v>0.03</v>
      </c>
      <c r="G16" s="25">
        <f t="shared" si="0"/>
        <v>1.1649331921179691E-5</v>
      </c>
      <c r="H16" s="23" t="s">
        <v>69</v>
      </c>
      <c r="I16" s="17"/>
    </row>
    <row r="17" spans="2:9" ht="16.5" thickBot="1" x14ac:dyDescent="0.3">
      <c r="B17" s="42"/>
      <c r="C17" s="45"/>
      <c r="D17" s="22">
        <v>3.8831106403932307E-4</v>
      </c>
      <c r="E17" s="23" t="s">
        <v>35</v>
      </c>
      <c r="F17" s="15">
        <v>0.03</v>
      </c>
      <c r="G17" s="25">
        <f t="shared" si="0"/>
        <v>1.1649331921179691E-5</v>
      </c>
      <c r="H17" s="23" t="s">
        <v>69</v>
      </c>
      <c r="I17" s="17"/>
    </row>
    <row r="18" spans="2:9" ht="32.25" thickBot="1" x14ac:dyDescent="0.3">
      <c r="B18" s="42"/>
      <c r="C18" s="45"/>
      <c r="D18" s="22">
        <v>3.8831106403932307E-4</v>
      </c>
      <c r="E18" s="23" t="s">
        <v>36</v>
      </c>
      <c r="F18" s="15">
        <v>0.21</v>
      </c>
      <c r="G18" s="25">
        <f t="shared" si="0"/>
        <v>8.1545323448257835E-5</v>
      </c>
      <c r="H18" s="23" t="s">
        <v>70</v>
      </c>
      <c r="I18" s="17"/>
    </row>
    <row r="19" spans="2:9" ht="32.25" thickBot="1" x14ac:dyDescent="0.3">
      <c r="B19" s="42"/>
      <c r="C19" s="45"/>
      <c r="D19" s="22">
        <v>3.8831106403932307E-4</v>
      </c>
      <c r="E19" s="23" t="s">
        <v>37</v>
      </c>
      <c r="F19" s="15">
        <v>0.35</v>
      </c>
      <c r="G19" s="25">
        <f t="shared" si="0"/>
        <v>1.3590887241376307E-4</v>
      </c>
      <c r="H19" s="23" t="s">
        <v>70</v>
      </c>
      <c r="I19" s="17"/>
    </row>
    <row r="20" spans="2:9" ht="16.5" thickBot="1" x14ac:dyDescent="0.3">
      <c r="B20" s="31">
        <v>2</v>
      </c>
      <c r="C20" s="31" t="s">
        <v>38</v>
      </c>
      <c r="D20" s="22">
        <v>7.4507458000806087E-5</v>
      </c>
      <c r="E20" s="23" t="s">
        <v>39</v>
      </c>
      <c r="F20" s="15">
        <v>0.2</v>
      </c>
      <c r="G20" s="25">
        <f t="shared" si="0"/>
        <v>1.4901491600161219E-5</v>
      </c>
      <c r="H20" s="23" t="s">
        <v>71</v>
      </c>
      <c r="I20" s="17"/>
    </row>
    <row r="21" spans="2:9" ht="16.5" thickBot="1" x14ac:dyDescent="0.3">
      <c r="B21" s="42"/>
      <c r="C21" s="42"/>
      <c r="D21" s="22">
        <v>7.4507458000806087E-5</v>
      </c>
      <c r="E21" s="23" t="s">
        <v>40</v>
      </c>
      <c r="F21" s="15">
        <v>0.2</v>
      </c>
      <c r="G21" s="25">
        <f t="shared" si="0"/>
        <v>1.4901491600161219E-5</v>
      </c>
      <c r="H21" s="23" t="s">
        <v>72</v>
      </c>
      <c r="I21" s="17"/>
    </row>
    <row r="22" spans="2:9" ht="32.25" thickBot="1" x14ac:dyDescent="0.3">
      <c r="B22" s="42"/>
      <c r="C22" s="42"/>
      <c r="D22" s="22">
        <v>7.4507458000806087E-5</v>
      </c>
      <c r="E22" s="23" t="s">
        <v>41</v>
      </c>
      <c r="F22" s="15">
        <v>0.2</v>
      </c>
      <c r="G22" s="25">
        <f t="shared" si="0"/>
        <v>1.4901491600161219E-5</v>
      </c>
      <c r="H22" s="23" t="s">
        <v>70</v>
      </c>
      <c r="I22" s="17"/>
    </row>
    <row r="23" spans="2:9" ht="32.25" thickBot="1" x14ac:dyDescent="0.3">
      <c r="B23" s="42"/>
      <c r="C23" s="42"/>
      <c r="D23" s="22">
        <v>7.4507458000806087E-5</v>
      </c>
      <c r="E23" s="23" t="s">
        <v>42</v>
      </c>
      <c r="F23" s="15">
        <v>0.2</v>
      </c>
      <c r="G23" s="25">
        <f t="shared" si="0"/>
        <v>1.4901491600161219E-5</v>
      </c>
      <c r="H23" s="23" t="s">
        <v>70</v>
      </c>
      <c r="I23" s="17"/>
    </row>
    <row r="24" spans="2:9" ht="16.5" thickBot="1" x14ac:dyDescent="0.3">
      <c r="B24" s="43"/>
      <c r="C24" s="43"/>
      <c r="D24" s="22">
        <v>7.4507458000806087E-5</v>
      </c>
      <c r="E24" s="23" t="s">
        <v>43</v>
      </c>
      <c r="F24" s="15">
        <v>0.2</v>
      </c>
      <c r="G24" s="25">
        <f t="shared" si="0"/>
        <v>1.4901491600161219E-5</v>
      </c>
      <c r="H24" s="23" t="s">
        <v>73</v>
      </c>
      <c r="I24" s="17"/>
    </row>
    <row r="25" spans="2:9" ht="32.25" thickBot="1" x14ac:dyDescent="0.3">
      <c r="B25" s="32">
        <v>3</v>
      </c>
      <c r="C25" s="44" t="s">
        <v>44</v>
      </c>
      <c r="D25" s="22">
        <v>1.1182660818384399E-4</v>
      </c>
      <c r="E25" s="23" t="s">
        <v>76</v>
      </c>
      <c r="F25" s="15">
        <v>0.5</v>
      </c>
      <c r="G25" s="25">
        <f t="shared" si="0"/>
        <v>5.5913304091921997E-5</v>
      </c>
      <c r="H25" s="23" t="s">
        <v>70</v>
      </c>
      <c r="I25" s="17"/>
    </row>
    <row r="26" spans="2:9" ht="32.25" thickBot="1" x14ac:dyDescent="0.3">
      <c r="B26" s="42"/>
      <c r="C26" s="45"/>
      <c r="D26" s="22">
        <v>1.1182660818384399E-4</v>
      </c>
      <c r="E26" s="23" t="s">
        <v>77</v>
      </c>
      <c r="F26" s="15">
        <v>0.5</v>
      </c>
      <c r="G26" s="25">
        <f t="shared" si="0"/>
        <v>5.5913304091921997E-5</v>
      </c>
      <c r="H26" s="23" t="s">
        <v>70</v>
      </c>
      <c r="I26" s="17"/>
    </row>
    <row r="27" spans="2:9" ht="32.25" thickBot="1" x14ac:dyDescent="0.3">
      <c r="B27" s="31">
        <v>4</v>
      </c>
      <c r="C27" s="31" t="s">
        <v>45</v>
      </c>
      <c r="D27" s="22">
        <v>4.9683462940213622E-3</v>
      </c>
      <c r="E27" s="23" t="s">
        <v>78</v>
      </c>
      <c r="F27" s="15">
        <v>0.8</v>
      </c>
      <c r="G27" s="25">
        <f t="shared" si="0"/>
        <v>3.9746770352170899E-3</v>
      </c>
      <c r="H27" s="23" t="s">
        <v>70</v>
      </c>
      <c r="I27" s="17"/>
    </row>
    <row r="28" spans="2:9" ht="32.25" thickBot="1" x14ac:dyDescent="0.3">
      <c r="B28" s="42"/>
      <c r="C28" s="42"/>
      <c r="D28" s="22">
        <v>4.9683462940213622E-3</v>
      </c>
      <c r="E28" s="23" t="s">
        <v>79</v>
      </c>
      <c r="F28" s="15">
        <v>0.17</v>
      </c>
      <c r="G28" s="25">
        <f t="shared" si="0"/>
        <v>8.4461886998363168E-4</v>
      </c>
      <c r="H28" s="23" t="s">
        <v>70</v>
      </c>
      <c r="I28" s="17"/>
    </row>
    <row r="29" spans="2:9" ht="32.25" thickBot="1" x14ac:dyDescent="0.3">
      <c r="B29" s="43"/>
      <c r="C29" s="43"/>
      <c r="D29" s="22">
        <v>4.9683462940213622E-3</v>
      </c>
      <c r="E29" s="23" t="s">
        <v>80</v>
      </c>
      <c r="F29" s="15">
        <v>0.03</v>
      </c>
      <c r="G29" s="25">
        <f t="shared" si="0"/>
        <v>1.4905038882064085E-4</v>
      </c>
      <c r="H29" s="23" t="s">
        <v>70</v>
      </c>
      <c r="I29" s="17"/>
    </row>
    <row r="30" spans="2:9" ht="32.25" thickBot="1" x14ac:dyDescent="0.3">
      <c r="B30" s="32">
        <v>5</v>
      </c>
      <c r="C30" s="44" t="s">
        <v>46</v>
      </c>
      <c r="D30" s="22">
        <v>5.0373729107214263E-3</v>
      </c>
      <c r="E30" s="23" t="s">
        <v>81</v>
      </c>
      <c r="F30" s="15">
        <v>0.34</v>
      </c>
      <c r="G30" s="25">
        <f t="shared" si="0"/>
        <v>1.712706789645285E-3</v>
      </c>
      <c r="H30" s="23" t="s">
        <v>70</v>
      </c>
      <c r="I30" s="17"/>
    </row>
    <row r="31" spans="2:9" ht="32.25" thickBot="1" x14ac:dyDescent="0.3">
      <c r="B31" s="42"/>
      <c r="C31" s="45"/>
      <c r="D31" s="22">
        <v>5.0373729107214263E-3</v>
      </c>
      <c r="E31" s="23" t="s">
        <v>82</v>
      </c>
      <c r="F31" s="15">
        <v>0.33</v>
      </c>
      <c r="G31" s="25">
        <f t="shared" si="0"/>
        <v>1.6623330605380706E-3</v>
      </c>
      <c r="H31" s="23" t="s">
        <v>70</v>
      </c>
      <c r="I31" s="17"/>
    </row>
    <row r="32" spans="2:9" ht="32.25" thickBot="1" x14ac:dyDescent="0.3">
      <c r="B32" s="42"/>
      <c r="C32" s="45"/>
      <c r="D32" s="22">
        <v>5.0373729107214263E-3</v>
      </c>
      <c r="E32" s="23" t="s">
        <v>83</v>
      </c>
      <c r="F32" s="15">
        <v>0.33</v>
      </c>
      <c r="G32" s="25">
        <f t="shared" si="0"/>
        <v>1.6623330605380706E-3</v>
      </c>
      <c r="H32" s="23" t="s">
        <v>70</v>
      </c>
      <c r="I32" s="17"/>
    </row>
    <row r="33" spans="2:9" ht="16.5" thickBot="1" x14ac:dyDescent="0.3">
      <c r="B33" s="31">
        <v>6</v>
      </c>
      <c r="C33" s="31" t="s">
        <v>47</v>
      </c>
      <c r="D33" s="22">
        <v>4.2327505164750623E-4</v>
      </c>
      <c r="E33" s="23" t="s">
        <v>48</v>
      </c>
      <c r="F33" s="15">
        <v>0.5</v>
      </c>
      <c r="G33" s="25">
        <f t="shared" si="0"/>
        <v>2.1163752582375312E-4</v>
      </c>
      <c r="H33" s="23" t="s">
        <v>71</v>
      </c>
      <c r="I33" s="17"/>
    </row>
    <row r="34" spans="2:9" ht="16.5" thickBot="1" x14ac:dyDescent="0.3">
      <c r="B34" s="42"/>
      <c r="C34" s="42"/>
      <c r="D34" s="22">
        <v>4.2327505164750623E-4</v>
      </c>
      <c r="E34" s="23" t="s">
        <v>49</v>
      </c>
      <c r="F34" s="15">
        <v>0.1</v>
      </c>
      <c r="G34" s="25">
        <f t="shared" si="0"/>
        <v>4.2327505164750623E-5</v>
      </c>
      <c r="H34" s="23" t="s">
        <v>71</v>
      </c>
      <c r="I34" s="17"/>
    </row>
    <row r="35" spans="2:9" ht="16.5" thickBot="1" x14ac:dyDescent="0.3">
      <c r="B35" s="42"/>
      <c r="C35" s="42"/>
      <c r="D35" s="22">
        <v>4.2327505164750623E-4</v>
      </c>
      <c r="E35" s="23" t="s">
        <v>50</v>
      </c>
      <c r="F35" s="15">
        <v>0.1</v>
      </c>
      <c r="G35" s="25">
        <f t="shared" si="0"/>
        <v>4.2327505164750623E-5</v>
      </c>
      <c r="H35" s="23" t="s">
        <v>71</v>
      </c>
      <c r="I35" s="17"/>
    </row>
    <row r="36" spans="2:9" ht="16.5" thickBot="1" x14ac:dyDescent="0.3">
      <c r="B36" s="42"/>
      <c r="C36" s="42"/>
      <c r="D36" s="22">
        <v>4.2327505164750623E-4</v>
      </c>
      <c r="E36" s="23" t="s">
        <v>51</v>
      </c>
      <c r="F36" s="15">
        <v>0.1</v>
      </c>
      <c r="G36" s="25">
        <f t="shared" si="0"/>
        <v>4.2327505164750623E-5</v>
      </c>
      <c r="H36" s="23" t="s">
        <v>71</v>
      </c>
      <c r="I36" s="17"/>
    </row>
    <row r="37" spans="2:9" ht="16.5" thickBot="1" x14ac:dyDescent="0.3">
      <c r="B37" s="42"/>
      <c r="C37" s="42"/>
      <c r="D37" s="22">
        <v>4.2327505164750623E-4</v>
      </c>
      <c r="E37" s="23" t="s">
        <v>52</v>
      </c>
      <c r="F37" s="15">
        <v>0.1</v>
      </c>
      <c r="G37" s="25">
        <f t="shared" si="0"/>
        <v>4.2327505164750623E-5</v>
      </c>
      <c r="H37" s="23" t="s">
        <v>71</v>
      </c>
      <c r="I37" s="17"/>
    </row>
    <row r="38" spans="2:9" ht="16.5" thickBot="1" x14ac:dyDescent="0.3">
      <c r="B38" s="43"/>
      <c r="C38" s="43"/>
      <c r="D38" s="22">
        <v>4.2327505164750623E-4</v>
      </c>
      <c r="E38" s="23" t="s">
        <v>53</v>
      </c>
      <c r="F38" s="15">
        <v>0.1</v>
      </c>
      <c r="G38" s="25">
        <f t="shared" si="0"/>
        <v>4.2327505164750623E-5</v>
      </c>
      <c r="H38" s="23" t="s">
        <v>72</v>
      </c>
      <c r="I38" s="17"/>
    </row>
    <row r="39" spans="2:9" ht="16.5" thickBot="1" x14ac:dyDescent="0.3">
      <c r="B39" s="32">
        <v>7</v>
      </c>
      <c r="C39" s="44" t="s">
        <v>54</v>
      </c>
      <c r="D39" s="22">
        <v>2.4919721615012289E-3</v>
      </c>
      <c r="E39" s="23" t="s">
        <v>53</v>
      </c>
      <c r="F39" s="15">
        <v>0.7</v>
      </c>
      <c r="G39" s="25">
        <f t="shared" si="0"/>
        <v>1.7443805130508601E-3</v>
      </c>
      <c r="H39" s="23" t="s">
        <v>74</v>
      </c>
      <c r="I39" s="17"/>
    </row>
    <row r="40" spans="2:9" ht="16.5" thickBot="1" x14ac:dyDescent="0.3">
      <c r="B40" s="42"/>
      <c r="C40" s="45"/>
      <c r="D40" s="22">
        <v>2.4919721615012289E-3</v>
      </c>
      <c r="E40" s="23" t="s">
        <v>43</v>
      </c>
      <c r="F40" s="15">
        <v>0.3</v>
      </c>
      <c r="G40" s="25">
        <f t="shared" si="0"/>
        <v>7.4759164845036863E-4</v>
      </c>
      <c r="H40" s="23" t="s">
        <v>73</v>
      </c>
      <c r="I40" s="17"/>
    </row>
    <row r="41" spans="2:9" ht="32.25" thickBot="1" x14ac:dyDescent="0.3">
      <c r="B41" s="31">
        <v>8</v>
      </c>
      <c r="C41" s="31" t="s">
        <v>15</v>
      </c>
      <c r="D41" s="22">
        <v>58.443609268940463</v>
      </c>
      <c r="E41" s="23" t="s">
        <v>55</v>
      </c>
      <c r="F41" s="15">
        <v>0.95</v>
      </c>
      <c r="G41" s="25">
        <f t="shared" si="0"/>
        <v>55.521428805493436</v>
      </c>
      <c r="H41" s="23" t="s">
        <v>70</v>
      </c>
      <c r="I41" s="17"/>
    </row>
    <row r="42" spans="2:9" ht="32.25" thickBot="1" x14ac:dyDescent="0.3">
      <c r="B42" s="43"/>
      <c r="C42" s="43"/>
      <c r="D42" s="22">
        <v>58.443609268940463</v>
      </c>
      <c r="E42" s="23" t="s">
        <v>56</v>
      </c>
      <c r="F42" s="15">
        <v>0.05</v>
      </c>
      <c r="G42" s="25">
        <f t="shared" si="0"/>
        <v>2.9221804634470234</v>
      </c>
      <c r="H42" s="23" t="s">
        <v>70</v>
      </c>
      <c r="I42" s="17"/>
    </row>
    <row r="43" spans="2:9" ht="32.25" thickBot="1" x14ac:dyDescent="0.3">
      <c r="B43" s="32">
        <v>9</v>
      </c>
      <c r="C43" s="44" t="s">
        <v>57</v>
      </c>
      <c r="D43" s="22">
        <v>0.20199349834876892</v>
      </c>
      <c r="E43" s="23" t="s">
        <v>58</v>
      </c>
      <c r="F43" s="15">
        <v>0.2</v>
      </c>
      <c r="G43" s="25">
        <f t="shared" si="0"/>
        <v>4.039869966975379E-2</v>
      </c>
      <c r="H43" s="23" t="s">
        <v>70</v>
      </c>
      <c r="I43" s="17"/>
    </row>
    <row r="44" spans="2:9" ht="32.25" thickBot="1" x14ac:dyDescent="0.3">
      <c r="B44" s="42"/>
      <c r="C44" s="45"/>
      <c r="D44" s="22">
        <v>0.20199349834876892</v>
      </c>
      <c r="E44" s="23" t="s">
        <v>59</v>
      </c>
      <c r="F44" s="15">
        <v>0.2</v>
      </c>
      <c r="G44" s="25">
        <f t="shared" si="0"/>
        <v>4.039869966975379E-2</v>
      </c>
      <c r="H44" s="23" t="s">
        <v>70</v>
      </c>
      <c r="I44" s="17"/>
    </row>
    <row r="45" spans="2:9" ht="16.5" thickBot="1" x14ac:dyDescent="0.3">
      <c r="B45" s="42"/>
      <c r="C45" s="45"/>
      <c r="D45" s="22">
        <v>0.20199349834876892</v>
      </c>
      <c r="E45" s="23" t="s">
        <v>60</v>
      </c>
      <c r="F45" s="15">
        <v>0.15</v>
      </c>
      <c r="G45" s="25">
        <f t="shared" si="0"/>
        <v>3.0299024752315336E-2</v>
      </c>
      <c r="H45" s="23" t="s">
        <v>71</v>
      </c>
      <c r="I45" s="17"/>
    </row>
    <row r="46" spans="2:9" ht="32.25" thickBot="1" x14ac:dyDescent="0.3">
      <c r="B46" s="42"/>
      <c r="C46" s="45"/>
      <c r="D46" s="22">
        <v>0.20199349834876892</v>
      </c>
      <c r="E46" s="23" t="s">
        <v>61</v>
      </c>
      <c r="F46" s="15">
        <v>0.15</v>
      </c>
      <c r="G46" s="25">
        <f t="shared" si="0"/>
        <v>3.0299024752315336E-2</v>
      </c>
      <c r="H46" s="23" t="s">
        <v>70</v>
      </c>
      <c r="I46" s="17"/>
    </row>
    <row r="47" spans="2:9" ht="32.25" thickBot="1" x14ac:dyDescent="0.3">
      <c r="B47" s="42"/>
      <c r="C47" s="45"/>
      <c r="D47" s="22">
        <v>0.20199349834876892</v>
      </c>
      <c r="E47" s="23" t="s">
        <v>62</v>
      </c>
      <c r="F47" s="15">
        <v>0.15</v>
      </c>
      <c r="G47" s="25">
        <f t="shared" si="0"/>
        <v>3.0299024752315336E-2</v>
      </c>
      <c r="H47" s="23" t="s">
        <v>69</v>
      </c>
      <c r="I47" s="17"/>
    </row>
    <row r="48" spans="2:9" ht="63.75" thickBot="1" x14ac:dyDescent="0.3">
      <c r="B48" s="42"/>
      <c r="C48" s="45"/>
      <c r="D48" s="22">
        <v>0.20199349834876892</v>
      </c>
      <c r="E48" s="23" t="s">
        <v>63</v>
      </c>
      <c r="F48" s="20">
        <v>0.15</v>
      </c>
      <c r="G48" s="26">
        <f t="shared" si="0"/>
        <v>3.0299024752315336E-2</v>
      </c>
      <c r="H48" s="23" t="s">
        <v>70</v>
      </c>
      <c r="I48" s="17"/>
    </row>
    <row r="49" spans="2:9" ht="32.25" thickBot="1" x14ac:dyDescent="0.3">
      <c r="B49" s="31">
        <v>10</v>
      </c>
      <c r="C49" s="48" t="s">
        <v>64</v>
      </c>
      <c r="D49" s="22">
        <v>1.2501261099491349E-4</v>
      </c>
      <c r="E49" s="23" t="s">
        <v>65</v>
      </c>
      <c r="F49" s="21">
        <v>0.2</v>
      </c>
      <c r="G49" s="27">
        <f t="shared" si="0"/>
        <v>2.50025221989827E-5</v>
      </c>
      <c r="H49" s="23" t="s">
        <v>70</v>
      </c>
      <c r="I49" s="17"/>
    </row>
    <row r="50" spans="2:9" ht="32.25" thickBot="1" x14ac:dyDescent="0.3">
      <c r="B50" s="42"/>
      <c r="C50" s="45"/>
      <c r="D50" s="22">
        <v>1.2501261099491349E-4</v>
      </c>
      <c r="E50" s="23" t="s">
        <v>36</v>
      </c>
      <c r="F50" s="15">
        <v>0.4</v>
      </c>
      <c r="G50" s="28">
        <f t="shared" si="0"/>
        <v>5.00050443979654E-5</v>
      </c>
      <c r="H50" s="23" t="s">
        <v>70</v>
      </c>
      <c r="I50" s="17"/>
    </row>
    <row r="51" spans="2:9" ht="32.25" thickBot="1" x14ac:dyDescent="0.3">
      <c r="B51" s="43"/>
      <c r="C51" s="49"/>
      <c r="D51" s="22">
        <v>1.2501261099491349E-4</v>
      </c>
      <c r="E51" s="23" t="s">
        <v>37</v>
      </c>
      <c r="F51" s="15">
        <v>0.4</v>
      </c>
      <c r="G51" s="28">
        <f t="shared" si="0"/>
        <v>5.00050443979654E-5</v>
      </c>
      <c r="H51" s="23" t="s">
        <v>70</v>
      </c>
      <c r="I51" s="17"/>
    </row>
    <row r="52" spans="2:9" ht="16.5" thickBot="1" x14ac:dyDescent="0.3">
      <c r="B52" s="5" t="s">
        <v>16</v>
      </c>
      <c r="C52" s="5"/>
      <c r="D52" s="24"/>
      <c r="E52" s="23"/>
      <c r="F52" s="15">
        <f>SUM(F14:F51)</f>
        <v>9.9999999999999982</v>
      </c>
      <c r="G52" s="11">
        <f>SUM(G14:G51)</f>
        <v>58.659223391448343</v>
      </c>
      <c r="H52" s="24"/>
      <c r="I52" s="17"/>
    </row>
    <row r="54" spans="2:9" ht="16.5" thickBot="1" x14ac:dyDescent="0.3">
      <c r="B54" t="s">
        <v>17</v>
      </c>
    </row>
    <row r="55" spans="2:9" ht="30.6" customHeight="1" x14ac:dyDescent="0.25">
      <c r="B55" s="40" t="s">
        <v>19</v>
      </c>
      <c r="C55" s="40" t="s">
        <v>20</v>
      </c>
      <c r="D55" s="40" t="s">
        <v>29</v>
      </c>
      <c r="E55" s="40" t="s">
        <v>12</v>
      </c>
      <c r="F55" s="40" t="s">
        <v>13</v>
      </c>
      <c r="G55" s="40" t="s">
        <v>14</v>
      </c>
    </row>
    <row r="56" spans="2:9" ht="23.45" customHeight="1" thickBot="1" x14ac:dyDescent="0.3">
      <c r="B56" s="41"/>
      <c r="C56" s="41"/>
      <c r="D56" s="41"/>
      <c r="E56" s="41"/>
      <c r="F56" s="41"/>
      <c r="G56" s="41"/>
    </row>
    <row r="57" spans="2:9" ht="16.5" thickBot="1" x14ac:dyDescent="0.3">
      <c r="B57" s="31" t="s">
        <v>97</v>
      </c>
      <c r="C57" s="31" t="s">
        <v>21</v>
      </c>
      <c r="D57" s="31">
        <f>56.1671/9</f>
        <v>6.2407888888888889</v>
      </c>
      <c r="E57" s="7" t="s">
        <v>85</v>
      </c>
      <c r="F57" s="6">
        <v>0.25</v>
      </c>
      <c r="G57" s="4">
        <f>D57*F57</f>
        <v>1.5601972222222222</v>
      </c>
    </row>
    <row r="58" spans="2:9" ht="16.5" thickBot="1" x14ac:dyDescent="0.3">
      <c r="B58" s="32"/>
      <c r="C58" s="32"/>
      <c r="D58" s="32"/>
      <c r="E58" s="7" t="s">
        <v>87</v>
      </c>
      <c r="F58" s="6">
        <v>0.25</v>
      </c>
      <c r="G58" s="4">
        <f>D57*F58</f>
        <v>1.5601972222222222</v>
      </c>
    </row>
    <row r="59" spans="2:9" ht="16.5" thickBot="1" x14ac:dyDescent="0.3">
      <c r="B59" s="32"/>
      <c r="C59" s="32"/>
      <c r="D59" s="32"/>
      <c r="E59" s="7" t="s">
        <v>89</v>
      </c>
      <c r="F59" s="6">
        <v>0.25</v>
      </c>
      <c r="G59" s="4">
        <f>D57*F59</f>
        <v>1.5601972222222222</v>
      </c>
    </row>
    <row r="60" spans="2:9" ht="16.5" thickBot="1" x14ac:dyDescent="0.3">
      <c r="B60" s="33"/>
      <c r="C60" s="33"/>
      <c r="D60" s="34"/>
      <c r="E60" s="7" t="s">
        <v>22</v>
      </c>
      <c r="F60" s="6">
        <v>0.25</v>
      </c>
      <c r="G60" s="4">
        <f>D57*F60</f>
        <v>1.5601972222222222</v>
      </c>
    </row>
    <row r="61" spans="2:9" ht="16.5" thickBot="1" x14ac:dyDescent="0.3">
      <c r="B61" s="31" t="s">
        <v>103</v>
      </c>
      <c r="C61" s="31" t="s">
        <v>23</v>
      </c>
      <c r="D61" s="31">
        <f>56.1671/9</f>
        <v>6.2407888888888889</v>
      </c>
      <c r="E61" s="7" t="s">
        <v>84</v>
      </c>
      <c r="F61" s="6">
        <v>0.25</v>
      </c>
      <c r="G61" s="4">
        <f t="shared" ref="G61:G88" si="1">D61*F61</f>
        <v>1.5601972222222222</v>
      </c>
    </row>
    <row r="62" spans="2:9" ht="16.5" thickBot="1" x14ac:dyDescent="0.3">
      <c r="B62" s="32"/>
      <c r="C62" s="32"/>
      <c r="D62" s="32"/>
      <c r="E62" s="7" t="s">
        <v>86</v>
      </c>
      <c r="F62" s="6">
        <v>0.25</v>
      </c>
      <c r="G62" s="4">
        <f>D61*F62</f>
        <v>1.5601972222222222</v>
      </c>
    </row>
    <row r="63" spans="2:9" ht="16.5" thickBot="1" x14ac:dyDescent="0.3">
      <c r="B63" s="32"/>
      <c r="C63" s="32"/>
      <c r="D63" s="32"/>
      <c r="E63" s="7" t="s">
        <v>88</v>
      </c>
      <c r="F63" s="6">
        <v>0.25</v>
      </c>
      <c r="G63" s="4">
        <f>D61*F63</f>
        <v>1.5601972222222222</v>
      </c>
    </row>
    <row r="64" spans="2:9" ht="16.5" thickBot="1" x14ac:dyDescent="0.3">
      <c r="B64" s="33"/>
      <c r="C64" s="33"/>
      <c r="D64" s="34"/>
      <c r="E64" s="7" t="s">
        <v>22</v>
      </c>
      <c r="F64" s="6">
        <v>0.25</v>
      </c>
      <c r="G64" s="4">
        <f>D61*F64</f>
        <v>1.5601972222222222</v>
      </c>
    </row>
    <row r="65" spans="2:7" ht="16.5" thickBot="1" x14ac:dyDescent="0.3">
      <c r="B65" s="31" t="s">
        <v>102</v>
      </c>
      <c r="C65" s="31" t="s">
        <v>24</v>
      </c>
      <c r="D65" s="31">
        <f>56.1671/9</f>
        <v>6.2407888888888889</v>
      </c>
      <c r="E65" s="7" t="s">
        <v>84</v>
      </c>
      <c r="F65" s="6">
        <v>0.25</v>
      </c>
      <c r="G65" s="4">
        <f t="shared" si="1"/>
        <v>1.5601972222222222</v>
      </c>
    </row>
    <row r="66" spans="2:7" ht="16.5" thickBot="1" x14ac:dyDescent="0.3">
      <c r="B66" s="32"/>
      <c r="C66" s="32"/>
      <c r="D66" s="32"/>
      <c r="E66" s="7" t="s">
        <v>86</v>
      </c>
      <c r="F66" s="6">
        <v>0.25</v>
      </c>
      <c r="G66" s="4">
        <f>D65*F66</f>
        <v>1.5601972222222222</v>
      </c>
    </row>
    <row r="67" spans="2:7" ht="16.5" thickBot="1" x14ac:dyDescent="0.3">
      <c r="B67" s="32"/>
      <c r="C67" s="32"/>
      <c r="D67" s="32"/>
      <c r="E67" s="7" t="s">
        <v>88</v>
      </c>
      <c r="F67" s="6">
        <v>0.25</v>
      </c>
      <c r="G67" s="4">
        <f>D65*F67</f>
        <v>1.5601972222222222</v>
      </c>
    </row>
    <row r="68" spans="2:7" ht="16.5" thickBot="1" x14ac:dyDescent="0.3">
      <c r="B68" s="33"/>
      <c r="C68" s="33"/>
      <c r="D68" s="34"/>
      <c r="E68" s="7" t="s">
        <v>22</v>
      </c>
      <c r="F68" s="6">
        <v>0.25</v>
      </c>
      <c r="G68" s="4">
        <f>D65*F68</f>
        <v>1.5601972222222222</v>
      </c>
    </row>
    <row r="69" spans="2:7" ht="16.5" thickBot="1" x14ac:dyDescent="0.3">
      <c r="B69" s="31" t="s">
        <v>100</v>
      </c>
      <c r="C69" s="31" t="s">
        <v>25</v>
      </c>
      <c r="D69" s="31">
        <v>6.2407888888888889</v>
      </c>
      <c r="E69" s="7" t="s">
        <v>86</v>
      </c>
      <c r="F69" s="6">
        <v>0.5</v>
      </c>
      <c r="G69" s="4">
        <f>D69*F69</f>
        <v>3.1203944444444445</v>
      </c>
    </row>
    <row r="70" spans="2:7" ht="16.5" thickBot="1" x14ac:dyDescent="0.3">
      <c r="B70" s="32"/>
      <c r="C70" s="32"/>
      <c r="D70" s="32"/>
      <c r="E70" s="7" t="s">
        <v>88</v>
      </c>
      <c r="F70" s="6">
        <v>0.25</v>
      </c>
      <c r="G70" s="4">
        <f>D69*F70</f>
        <v>1.5601972222222222</v>
      </c>
    </row>
    <row r="71" spans="2:7" ht="16.5" thickBot="1" x14ac:dyDescent="0.3">
      <c r="B71" s="33"/>
      <c r="C71" s="33"/>
      <c r="D71" s="34"/>
      <c r="E71" s="7" t="s">
        <v>22</v>
      </c>
      <c r="F71" s="6">
        <v>0.25</v>
      </c>
      <c r="G71" s="4">
        <f>D69*F71</f>
        <v>1.5601972222222222</v>
      </c>
    </row>
    <row r="72" spans="2:7" ht="16.5" thickBot="1" x14ac:dyDescent="0.3">
      <c r="B72" s="31" t="s">
        <v>104</v>
      </c>
      <c r="C72" s="31" t="s">
        <v>26</v>
      </c>
      <c r="D72" s="31">
        <f>56.1671/9</f>
        <v>6.2407888888888889</v>
      </c>
      <c r="E72" s="7" t="s">
        <v>84</v>
      </c>
      <c r="F72" s="6">
        <v>0.25</v>
      </c>
      <c r="G72" s="4">
        <f t="shared" si="1"/>
        <v>1.5601972222222222</v>
      </c>
    </row>
    <row r="73" spans="2:7" ht="16.5" thickBot="1" x14ac:dyDescent="0.3">
      <c r="B73" s="32"/>
      <c r="C73" s="32"/>
      <c r="D73" s="32"/>
      <c r="E73" s="7" t="s">
        <v>86</v>
      </c>
      <c r="F73" s="6">
        <v>0.25</v>
      </c>
      <c r="G73" s="4">
        <f>D72*F73</f>
        <v>1.5601972222222222</v>
      </c>
    </row>
    <row r="74" spans="2:7" ht="16.5" thickBot="1" x14ac:dyDescent="0.3">
      <c r="B74" s="32"/>
      <c r="C74" s="32"/>
      <c r="D74" s="32"/>
      <c r="E74" s="7" t="s">
        <v>88</v>
      </c>
      <c r="F74" s="6">
        <v>0.25</v>
      </c>
      <c r="G74" s="4">
        <f>D72*F74</f>
        <v>1.5601972222222222</v>
      </c>
    </row>
    <row r="75" spans="2:7" ht="16.5" thickBot="1" x14ac:dyDescent="0.3">
      <c r="B75" s="33"/>
      <c r="C75" s="33"/>
      <c r="D75" s="34"/>
      <c r="E75" s="7" t="s">
        <v>22</v>
      </c>
      <c r="F75" s="6">
        <v>0.25</v>
      </c>
      <c r="G75" s="4">
        <f>D72*F75</f>
        <v>1.5601972222222222</v>
      </c>
    </row>
    <row r="76" spans="2:7" ht="16.5" thickBot="1" x14ac:dyDescent="0.3">
      <c r="B76" s="31" t="s">
        <v>99</v>
      </c>
      <c r="C76" s="31" t="s">
        <v>27</v>
      </c>
      <c r="D76" s="31">
        <f>56.1671/9</f>
        <v>6.2407888888888889</v>
      </c>
      <c r="E76" s="7" t="s">
        <v>84</v>
      </c>
      <c r="F76" s="6">
        <v>0.25</v>
      </c>
      <c r="G76" s="4">
        <f t="shared" si="1"/>
        <v>1.5601972222222222</v>
      </c>
    </row>
    <row r="77" spans="2:7" ht="16.5" thickBot="1" x14ac:dyDescent="0.3">
      <c r="B77" s="32"/>
      <c r="C77" s="32"/>
      <c r="D77" s="32"/>
      <c r="E77" s="7" t="s">
        <v>86</v>
      </c>
      <c r="F77" s="6">
        <v>0.25</v>
      </c>
      <c r="G77" s="4">
        <f>D76*F77</f>
        <v>1.5601972222222222</v>
      </c>
    </row>
    <row r="78" spans="2:7" ht="16.5" thickBot="1" x14ac:dyDescent="0.3">
      <c r="B78" s="32"/>
      <c r="C78" s="32"/>
      <c r="D78" s="32"/>
      <c r="E78" s="7" t="s">
        <v>88</v>
      </c>
      <c r="F78" s="6">
        <v>0.25</v>
      </c>
      <c r="G78" s="4">
        <f>D76*F78</f>
        <v>1.5601972222222222</v>
      </c>
    </row>
    <row r="79" spans="2:7" ht="16.5" thickBot="1" x14ac:dyDescent="0.3">
      <c r="B79" s="33"/>
      <c r="C79" s="33"/>
      <c r="D79" s="34"/>
      <c r="E79" s="7" t="s">
        <v>22</v>
      </c>
      <c r="F79" s="6">
        <v>0.25</v>
      </c>
      <c r="G79" s="4">
        <f>D76*F79</f>
        <v>1.5601972222222222</v>
      </c>
    </row>
    <row r="80" spans="2:7" ht="16.5" thickBot="1" x14ac:dyDescent="0.3">
      <c r="B80" s="35" t="s">
        <v>105</v>
      </c>
      <c r="C80" s="35" t="s">
        <v>91</v>
      </c>
      <c r="D80" s="31">
        <f>56.1671/9</f>
        <v>6.2407888888888889</v>
      </c>
      <c r="E80" s="7" t="s">
        <v>84</v>
      </c>
      <c r="F80" s="6">
        <v>0.25</v>
      </c>
      <c r="G80" s="4">
        <f t="shared" si="1"/>
        <v>1.5601972222222222</v>
      </c>
    </row>
    <row r="81" spans="2:7" ht="16.5" thickBot="1" x14ac:dyDescent="0.3">
      <c r="B81" s="36"/>
      <c r="C81" s="38"/>
      <c r="D81" s="32"/>
      <c r="E81" s="7" t="s">
        <v>86</v>
      </c>
      <c r="F81" s="6">
        <v>0.25</v>
      </c>
      <c r="G81" s="4">
        <f>D80*F81</f>
        <v>1.5601972222222222</v>
      </c>
    </row>
    <row r="82" spans="2:7" ht="16.5" thickBot="1" x14ac:dyDescent="0.3">
      <c r="B82" s="36"/>
      <c r="C82" s="38"/>
      <c r="D82" s="32"/>
      <c r="E82" s="7" t="s">
        <v>88</v>
      </c>
      <c r="F82" s="6">
        <v>0.25</v>
      </c>
      <c r="G82" s="4">
        <f>D80*F82</f>
        <v>1.5601972222222222</v>
      </c>
    </row>
    <row r="83" spans="2:7" ht="16.5" thickBot="1" x14ac:dyDescent="0.3">
      <c r="B83" s="37"/>
      <c r="C83" s="39"/>
      <c r="D83" s="34"/>
      <c r="E83" s="7" t="s">
        <v>22</v>
      </c>
      <c r="F83" s="6">
        <v>0.25</v>
      </c>
      <c r="G83" s="4">
        <f>D80*F83</f>
        <v>1.5601972222222222</v>
      </c>
    </row>
    <row r="84" spans="2:7" ht="16.5" thickBot="1" x14ac:dyDescent="0.3">
      <c r="B84" s="35" t="s">
        <v>98</v>
      </c>
      <c r="C84" s="35" t="s">
        <v>90</v>
      </c>
      <c r="D84" s="31">
        <f>56.1671/9</f>
        <v>6.2407888888888889</v>
      </c>
      <c r="E84" s="7" t="s">
        <v>84</v>
      </c>
      <c r="F84" s="6">
        <v>0.25</v>
      </c>
      <c r="G84" s="4">
        <f t="shared" ref="G84" si="2">D84*F84</f>
        <v>1.5601972222222222</v>
      </c>
    </row>
    <row r="85" spans="2:7" ht="16.5" thickBot="1" x14ac:dyDescent="0.3">
      <c r="B85" s="36"/>
      <c r="C85" s="38"/>
      <c r="D85" s="32"/>
      <c r="E85" s="7" t="s">
        <v>86</v>
      </c>
      <c r="F85" s="6">
        <v>0.25</v>
      </c>
      <c r="G85" s="4">
        <f>D84*F85</f>
        <v>1.5601972222222222</v>
      </c>
    </row>
    <row r="86" spans="2:7" ht="16.5" thickBot="1" x14ac:dyDescent="0.3">
      <c r="B86" s="36"/>
      <c r="C86" s="38"/>
      <c r="D86" s="32"/>
      <c r="E86" s="7" t="s">
        <v>88</v>
      </c>
      <c r="F86" s="6">
        <v>0.25</v>
      </c>
      <c r="G86" s="4">
        <f>D84*F86</f>
        <v>1.5601972222222222</v>
      </c>
    </row>
    <row r="87" spans="2:7" ht="16.5" thickBot="1" x14ac:dyDescent="0.3">
      <c r="B87" s="37"/>
      <c r="C87" s="39"/>
      <c r="D87" s="34"/>
      <c r="E87" s="7" t="s">
        <v>22</v>
      </c>
      <c r="F87" s="6">
        <v>0.25</v>
      </c>
      <c r="G87" s="4">
        <f>D84*F87</f>
        <v>1.5601972222222222</v>
      </c>
    </row>
    <row r="88" spans="2:7" ht="16.5" thickBot="1" x14ac:dyDescent="0.3">
      <c r="B88" s="31" t="s">
        <v>101</v>
      </c>
      <c r="C88" s="31" t="s">
        <v>3</v>
      </c>
      <c r="D88" s="31">
        <v>6.2407888888888889</v>
      </c>
      <c r="E88" s="7" t="s">
        <v>84</v>
      </c>
      <c r="F88" s="6">
        <v>0.5</v>
      </c>
      <c r="G88" s="4">
        <f t="shared" si="1"/>
        <v>3.1203944444444445</v>
      </c>
    </row>
    <row r="89" spans="2:7" ht="16.5" thickBot="1" x14ac:dyDescent="0.3">
      <c r="B89" s="32"/>
      <c r="C89" s="32"/>
      <c r="D89" s="32"/>
      <c r="E89" s="7" t="s">
        <v>88</v>
      </c>
      <c r="F89" s="6">
        <v>0.25</v>
      </c>
      <c r="G89" s="4">
        <f>D88*F89</f>
        <v>1.5601972222222222</v>
      </c>
    </row>
    <row r="90" spans="2:7" ht="16.5" thickBot="1" x14ac:dyDescent="0.3">
      <c r="B90" s="33"/>
      <c r="C90" s="33"/>
      <c r="D90" s="34"/>
      <c r="E90" s="7" t="s">
        <v>22</v>
      </c>
      <c r="F90" s="6">
        <v>0.25</v>
      </c>
      <c r="G90" s="4">
        <f>D88*F90</f>
        <v>1.5601972222222222</v>
      </c>
    </row>
    <row r="91" spans="2:7" ht="16.5" thickBot="1" x14ac:dyDescent="0.3">
      <c r="B91" s="8"/>
      <c r="C91" s="4" t="s">
        <v>28</v>
      </c>
      <c r="D91" s="4">
        <f>SUM(D57:D90)</f>
        <v>56.167099999999991</v>
      </c>
      <c r="E91" s="9"/>
      <c r="F91" s="16">
        <f>SUM(F57:F90)</f>
        <v>9</v>
      </c>
      <c r="G91" s="4">
        <f>SUM(G57:G90)</f>
        <v>56.167099999999984</v>
      </c>
    </row>
    <row r="93" spans="2:7" x14ac:dyDescent="0.25">
      <c r="F93" s="14"/>
    </row>
  </sheetData>
  <mergeCells count="56">
    <mergeCell ref="E55:E56"/>
    <mergeCell ref="F55:F56"/>
    <mergeCell ref="G55:G56"/>
    <mergeCell ref="B9:B10"/>
    <mergeCell ref="C9:C10"/>
    <mergeCell ref="D9:D10"/>
    <mergeCell ref="B14:B19"/>
    <mergeCell ref="C14:C19"/>
    <mergeCell ref="B49:B51"/>
    <mergeCell ref="C49:C51"/>
    <mergeCell ref="C43:C48"/>
    <mergeCell ref="C41:C42"/>
    <mergeCell ref="B27:B29"/>
    <mergeCell ref="B30:B32"/>
    <mergeCell ref="B33:B38"/>
    <mergeCell ref="B20:B24"/>
    <mergeCell ref="C20:C24"/>
    <mergeCell ref="C25:C26"/>
    <mergeCell ref="B25:B26"/>
    <mergeCell ref="C84:C87"/>
    <mergeCell ref="B41:B42"/>
    <mergeCell ref="C39:C40"/>
    <mergeCell ref="C33:C38"/>
    <mergeCell ref="C30:C32"/>
    <mergeCell ref="C27:C29"/>
    <mergeCell ref="B39:B40"/>
    <mergeCell ref="B43:B48"/>
    <mergeCell ref="B65:B68"/>
    <mergeCell ref="C65:C68"/>
    <mergeCell ref="D65:D68"/>
    <mergeCell ref="B80:B83"/>
    <mergeCell ref="B57:B60"/>
    <mergeCell ref="C57:C60"/>
    <mergeCell ref="D57:D60"/>
    <mergeCell ref="D55:D56"/>
    <mergeCell ref="B61:B64"/>
    <mergeCell ref="C61:C64"/>
    <mergeCell ref="D61:D64"/>
    <mergeCell ref="B55:B56"/>
    <mergeCell ref="C55:C56"/>
    <mergeCell ref="B88:B90"/>
    <mergeCell ref="C88:C90"/>
    <mergeCell ref="D88:D90"/>
    <mergeCell ref="B69:B71"/>
    <mergeCell ref="C69:C71"/>
    <mergeCell ref="D69:D71"/>
    <mergeCell ref="B72:B75"/>
    <mergeCell ref="C72:C75"/>
    <mergeCell ref="D72:D75"/>
    <mergeCell ref="B76:B79"/>
    <mergeCell ref="C76:C79"/>
    <mergeCell ref="D76:D79"/>
    <mergeCell ref="B84:B87"/>
    <mergeCell ref="D84:D87"/>
    <mergeCell ref="D80:D83"/>
    <mergeCell ref="C80:C83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2025-08-27T06:12:11Z</dcterms:modified>
</cp:coreProperties>
</file>