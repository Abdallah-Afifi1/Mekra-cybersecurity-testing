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view" sheetId="1" state="visible" r:id="rId3"/>
    <sheet name="Review (detailed)" sheetId="2" state="visible" r:id="rId4"/>
    <sheet name="Key decisions" sheetId="3" state="visible" r:id="rId5"/>
    <sheet name="Summary" sheetId="4" state="visible" r:id="rId6"/>
  </sheets>
  <definedNames>
    <definedName function="false" hidden="true" localSheetId="0" name="_xlnm._FilterDatabase" vbProcedure="false">Review!$A$1:$N$57</definedName>
    <definedName function="false" hidden="true" localSheetId="1" name="_xlnm._FilterDatabase" vbProcedure="false">'Review (detailed)'!$A$1:$S$26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<sst xmlns="http://schemas.openxmlformats.org/spreadsheetml/2006/main" count="1249" uniqueCount="904">
  <si>
    <t xml:space="preserve">#</t>
  </si>
  <si>
    <t xml:space="preserve">Requirement ID</t>
  </si>
  <si>
    <t xml:space="preserve">Topic</t>
  </si>
  <si>
    <t xml:space="preserve">Requirement text</t>
  </si>
  <si>
    <t xml:space="preserve">SIQ</t>
  </si>
  <si>
    <t xml:space="preserve">Impact and proposal</t>
  </si>
  <si>
    <t xml:space="preserve">Testability Finding</t>
  </si>
  <si>
    <t xml:space="preserve">Technical Finding</t>
  </si>
  <si>
    <t xml:space="preserve">Structure Finding</t>
  </si>
  <si>
    <t xml:space="preserve">Traceability Finding</t>
  </si>
  <si>
    <t xml:space="preserve">How to test (pseudo-code)</t>
  </si>
  <si>
    <t xml:space="preserve">Decision</t>
  </si>
  <si>
    <t xml:space="preserve">Decision note</t>
  </si>
  <si>
    <t xml:space="preserve">Owner</t>
  </si>
  <si>
    <t xml:space="preserve">MVC-119709</t>
  </si>
  <si>
    <t xml:space="preserve">Verify frame tag</t>
  </si>
  <si>
    <t xml:space="preserve">The system shall verify the integrity and authenticity of each video frame by comparing the calculated AES-CMAC tag with the 128-bit CMAC tag received in the frame footer.</t>
  </si>
  <si>
    <t xml:space="preserve">Frames 1-17 carry no CMAC tag (Volvo spec). How must SOW2 treat them: drop, accept as untrusted, or show?</t>
  </si>
  <si>
    <t xml:space="preserve">Text says 'each frame', but only frames 18+ carry a tag and only the selected rows are covered. Reword to 'each tagged frame, over the selected rows'.</t>
  </si>
  <si>
    <t xml:space="preserve">The comparison is internal; only accept or reject is visible, same as 119710. Use a log event or drop counter as pass criterion.</t>
  </si>
  <si>
    <t xml:space="preserve">Unselected rows and statistics are not authenticated, so 'integrity of each frame' is overstated.
No latency limit for holding a frame until it is verified.</t>
  </si>
  <si>
    <t xml:space="preserve">119709 (compare) and 119710 (reject) are one function. Merge, or split into compare and reaction.</t>
  </si>
  <si>
    <t xml:space="preserve">Linked to MVC-106582. SRS 108112 and 108117 likely realise it, but no link exists. Add it.</t>
  </si>
  <si>
    <t xml:space="preserve">SIM sends good tag -&gt; accepted
SIM flips 1 tag bit -&gt; rejected, log</t>
  </si>
  <si>
    <t xml:space="preserve">OPEN</t>
  </si>
  <si>
    <t xml:space="preserve">MVC-107641</t>
  </si>
  <si>
    <t xml:space="preserve">RSASSA-PSS with SHA-256</t>
  </si>
  <si>
    <t xml:space="preserve">The system shall use RSASSA-PSS with SHA-256 to verify the Imager's digital signature.</t>
  </si>
  <si>
    <t xml:space="preserve">PSS needs a salt length and MGF, and the SRS lets KID pick the scheme. Is PSS with SHA-256 the only scheme?</t>
  </si>
  <si>
    <t xml:space="preserve">If it is the only scheme, drop the KID selection in the SRS. Otherwise list the accepted KID values.</t>
  </si>
  <si>
    <t xml:space="preserve">Partly a code inspection. Wrong-scheme signatures (PKCS#1 v1.5, SHA-1) can be tested; salt cases cannot until the salt is defined.</t>
  </si>
  <si>
    <t xml:space="preserve">SWE: salt length, MGF and public exponent are not stated.</t>
  </si>
  <si>
    <t xml:space="preserve">It describes how 107642 verifies, not a separate behaviour. Merge into 107642.</t>
  </si>
  <si>
    <t xml:space="preserve">Technical requirement MVC-106563 has no link back to it. Add the link. SRS 108120, 108135.</t>
  </si>
  <si>
    <t xml:space="preserve">Code review: PSS + SHA-256
PyRef: v1.5 or SHA-1 signature -&gt; rejected</t>
  </si>
  <si>
    <t xml:space="preserve">MVC-103042</t>
  </si>
  <si>
    <t xml:space="preserve">CSPRNG and TRNG</t>
  </si>
  <si>
    <t xml:space="preserve">The system shall use a CSPRNG compliant with NIST SP 800-90A and seeded by a hardware TRNG to generate the 256-bit session key.</t>
  </si>
  <si>
    <t xml:space="preserve">Which DRBG and which SoC TRNG interface is used? Is there SP 800-90A evidence from Ambarella?</t>
  </si>
  <si>
    <t xml:space="preserve">SP 800-90A conformity is a design property, not a test result. Change the method to Review and keep a test for the failure behaviour.</t>
  </si>
  <si>
    <t xml:space="preserve">Black-box tests show only that keys differ. A failure can be injected by forcing a TRNG error with Lauterbach.</t>
  </si>
  <si>
    <t xml:space="preserve">SP 800-90A covers the DRBG, not the entropy source (SP 800-90B).
SWE: no reseed rule.</t>
  </si>
  <si>
    <t xml:space="preserve">Uses the same TRNG as the debug challenge (MVC-103050). Align both.</t>
  </si>
  <si>
    <t xml:space="preserve">Linked to MVC-106560. SRS 108106, 108109.</t>
  </si>
  <si>
    <t xml:space="preserve">Review DRBG + TRNG evidence
Lauterbach: force TRNG error -&gt; no key sent</t>
  </si>
  <si>
    <t xml:space="preserve">MVC-103034</t>
  </si>
  <si>
    <t xml:space="preserve">Transmit encrypted SSK</t>
  </si>
  <si>
    <t xml:space="preserve">The system shall transmit the 2048bit Encrypted Session Key and row information to the Imager for secure session establishment.</t>
  </si>
  <si>
    <t xml:space="preserve">How does SOW2 know the imager accepted the key block? What is 'the expected response'?</t>
  </si>
  <si>
    <t xml:space="preserve">No requirement says when a session counts as established, and 119708, 103046, 103044 depend on it. Add one.</t>
  </si>
  <si>
    <t xml:space="preserve">Capture the write with Saleae. The message layout comes from the Samsung note (missing).</t>
  </si>
  <si>
    <t xml:space="preserve">SWE: the 256-byte block may need several I2C writes (I2C CRC is on). Partial-write handling is not defined.</t>
  </si>
  <si>
    <t xml:space="preserve">-</t>
  </si>
  <si>
    <t xml:space="preserve">Linked to MVC-106578. SRS 108146, 108145.</t>
  </si>
  <si>
    <t xml:space="preserve">Saleae: key write only after auth OK
SIM no ack -&gt; no session</t>
  </si>
  <si>
    <t xml:space="preserve">MVC-103051</t>
  </si>
  <si>
    <t xml:space="preserve">Terminate authentication</t>
  </si>
  <si>
    <t xml:space="preserve">The system shall terminate the Imager authentication process if authentication is not successfully completed within the configured maximum number of retry attempts</t>
  </si>
  <si>
    <t xml:space="preserve">After termination: no video, retry later, or safe state? When is the next attempt allowed?</t>
  </si>
  <si>
    <t xml:space="preserve">An authentication failure can switch off the camera image. Define the system reaction together with FuSa.</t>
  </si>
  <si>
    <t xml:space="preserve">The end state is observable: authentication state, no key write, no trusted video. 'No retry forever' needs a defined wait time.</t>
  </si>
  <si>
    <t xml:space="preserve">Concept says 'configured maximum', technical says a fixed three. Decide fixed or configurable.</t>
  </si>
  <si>
    <t xml:space="preserve">Retry and terminate rules are split over 103053 and 103051 with different wording. Align them.</t>
  </si>
  <si>
    <t xml:space="preserve">Linked to MVC-106569. SRS 108124 is similar but not identical.</t>
  </si>
  <si>
    <t xml:space="preserve">SIM never answers -&gt; Saleae: no more requests
Lauterbach: state UNAUTHENTICATED</t>
  </si>
  <si>
    <t xml:space="preserve">MVC-103044</t>
  </si>
  <si>
    <t xml:space="preserve">Terminate session establishment</t>
  </si>
  <si>
    <t xml:space="preserve">The system shall terminate secure session establishment if a secure session is not successfully established after three retry attempts.</t>
  </si>
  <si>
    <t xml:space="preserve">After termination: no video, new authentication, or safe state?</t>
  </si>
  <si>
    <t xml:space="preserve">Define the next step, and whether the three retries restart after a new authentication.</t>
  </si>
  <si>
    <t xml:space="preserve">The end state is observable: no active session, no more key writes, key unused.</t>
  </si>
  <si>
    <t xml:space="preserve">SWE: the SSK of the failed attempt must be erased (SRS 108149). Check the buffer.</t>
  </si>
  <si>
    <t xml:space="preserve">Linked to MVC-106581. SRS 108149, 108158.</t>
  </si>
  <si>
    <t xml:space="preserve">SIM never acks -&gt; no more key writes
Lauterbach: key buffer zero</t>
  </si>
  <si>
    <t xml:space="preserve">MVC-103063</t>
  </si>
  <si>
    <t xml:space="preserve">Root key in OTP</t>
  </si>
  <si>
    <t xml:space="preserve">The system shall store the trusted 2048bit Samsung Root Public Key in OTP memory.</t>
  </si>
  <si>
    <t xml:space="preserve">Which OTP zone holds the key, and who programs it and when?</t>
  </si>
  <si>
    <t xml:space="preserve">'No modification' is only in the verification text. Add it to the requirement (SRS 108142 has it) and name the zone.</t>
  </si>
  <si>
    <t xml:space="preserve">OTP is write-once, so the overwrite test destroys a sample. Test samples need a test root key.</t>
  </si>
  <si>
    <t xml:space="preserve">Concept says OTP, SRS 108143 says 'protected non-volatile storage'. Align them.</t>
  </si>
  <si>
    <t xml:space="preserve">The technical requirement copies the concept text and adds nothing. Add key format and zone.</t>
  </si>
  <si>
    <t xml:space="preserve">Linked to MVC-106562. SRS 108143, 108142, 108144. The secure-boot key (SRS 23.4) is a separate root.</t>
  </si>
  <si>
    <t xml:space="preserve">Lauterbach: read OTP, compare hash
Try write -&gt; rejected</t>
  </si>
  <si>
    <t xml:space="preserve">MVC-103053</t>
  </si>
  <si>
    <t xml:space="preserve">Retry authentication</t>
  </si>
  <si>
    <t xml:space="preserve">The system shall retry the Imager authentication process up to three times if the expected authentication data is failed to be received.</t>
  </si>
  <si>
    <t xml:space="preserve">'Up to three retries' means 4 requests, '3 attempts' (106569) means 3. Which one? What is the timeout?</t>
  </si>
  <si>
    <t xml:space="preserve">Counting requests on I2C needs one number. Define N attempts in total and a timeout T.</t>
  </si>
  <si>
    <t xml:space="preserve">Count requests with Saleae while the SIM withholds the answer. Timing is untestable until T exists.</t>
  </si>
  <si>
    <t xml:space="preserve">'Not received' and invalid data are not separated. Is a bad signature retried or rejected at once?</t>
  </si>
  <si>
    <t xml:space="preserve">Retry (103053) and terminate (103051) are split. Align the wording.</t>
  </si>
  <si>
    <t xml:space="preserve">Linked to MVC-106566. SRS 108124, 108126.</t>
  </si>
  <si>
    <t xml:space="preserve">SIM silent -&gt; Saleae counts requests
SIM answers on 2nd -&gt; continues</t>
  </si>
  <si>
    <t xml:space="preserve">MVC-103046</t>
  </si>
  <si>
    <t xml:space="preserve">Retry session establishment</t>
  </si>
  <si>
    <t xml:space="preserve">The system shall retry secure session establishment up to three times if the expected response is failed to be received.</t>
  </si>
  <si>
    <t xml:space="preserve">What is the 'expected response' and the timeout per try? Is the same block or a new key resent?</t>
  </si>
  <si>
    <t xml:space="preserve">Define the response, the timeout and what is resent on a retry.</t>
  </si>
  <si>
    <t xml:space="preserve">Count key writes with Saleae while the SIM withholds the response. Blocked until the response is defined.</t>
  </si>
  <si>
    <t xml:space="preserve">Linked to MVC-106567. SRS 108149.</t>
  </si>
  <si>
    <t xml:space="preserve">SIM ignores key block -&gt; Saleae counts writes
SIM answers on 2nd -&gt; session up</t>
  </si>
  <si>
    <t xml:space="preserve">MVC-103036</t>
  </si>
  <si>
    <t xml:space="preserve">New session after triggers</t>
  </si>
  <si>
    <t xml:space="preserve">The system shall require establishment of a new secure session, including full SOW1 authentication and generation of a new session key (SSK), after session expiry, system reset, system restart, session termination, or detection of a security failure.</t>
  </si>
  <si>
    <t xml:space="preserve">What is the session lifetime? Which events are a 'security failure'? What is the difference between reset and restart?</t>
  </si>
  <si>
    <t xml:space="preserve">Two of the five triggers cannot be tested, and it conflicts with 'reject one frame and continue'. Define the lifetime and a failure threshold.</t>
  </si>
  <si>
    <t xml:space="preserve">Each trigger can be tested alone. The SIM then replays the old key to prove it is refused.</t>
  </si>
  <si>
    <t xml:space="preserve">Video interruption during renegotiation is not limited.</t>
  </si>
  <si>
    <t xml:space="preserve">Five triggers in one requirement. Keep it, but give each trigger its own test.</t>
  </si>
  <si>
    <t xml:space="preserve">Linked to MVC-106573. SRS 108156, 108158, 108151.</t>
  </si>
  <si>
    <t xml:space="preserve">Per trigger: new auth + new key (Saleae)
Old-key frames -&gt; rejected</t>
  </si>
  <si>
    <t xml:space="preserve">MVC-113703</t>
  </si>
  <si>
    <t xml:space="preserve">Freshness window</t>
  </si>
  <si>
    <t xml:space="preserve">The system shall reject duplicated, stale, or out-of-order SOW1 video frames based on a 3-frame freshness window and shall accept a frame only when its frame counter satisfies LastAcceptedCounter &lt; ReceivedCounter ≤ LastAcceptedCounter + 3.</t>
  </si>
  <si>
    <t xml:space="preserve">What are the counter width, the wrap behaviour and the first-frame value after a new session?</t>
  </si>
  <si>
    <t xml:space="preserve">If more than 3 frames are lost, every later valid frame is rejected and the video stops until a new session. Add a recovery rule.</t>
  </si>
  <si>
    <t xml:space="preserve">The boundaries (equal, lower, +1 to +4) are easy to test. Wrap and first frame are untestable until defined.</t>
  </si>
  <si>
    <t xml:space="preserve">SWE: update LastAcceptedCounter only after the CMAC passes, or a forged frame can push the window forward.</t>
  </si>
  <si>
    <t xml:space="preserve">Linked to MVC-113727. SRS 108099, 108104, 108102. The recovery rule is in no requirement.</t>
  </si>
  <si>
    <t xml:space="preserve">SIM: n+1, n+3 accepted; duplicate, n+4 rejected
Forged counter -&gt; rejected</t>
  </si>
  <si>
    <t xml:space="preserve">MVC-119710</t>
  </si>
  <si>
    <t xml:space="preserve">Reject frame on failure</t>
  </si>
  <si>
    <t xml:space="preserve">The system shall reject any received SOW1 video frame if AES-CMAC verification fails.</t>
  </si>
  <si>
    <t xml:space="preserve">What does 'reject' do: drop the frame, repeat the previous one, or flag it?</t>
  </si>
  <si>
    <t xml:space="preserve">On a display camera the reaction matters. Define it: drop, count, log, continue (SRS 108105).</t>
  </si>
  <si>
    <t xml:space="preserve">Same observable as 119709. Define one pass criterion: log event or drop counter.</t>
  </si>
  <si>
    <t xml:space="preserve">SWE: no limit for repeated bad frames, so random corruption and a forgery get the same reaction.</t>
  </si>
  <si>
    <t xml:space="preserve">Overlaps 119709 and SRS 108116. Merge, or split clearly.</t>
  </si>
  <si>
    <t xml:space="preserve">Linked to MVC-106564. SRS 108116, 108108, 108105.</t>
  </si>
  <si>
    <t xml:space="preserve">SIM sends 1 bad frame
Wireshark: frame missing; log entry</t>
  </si>
  <si>
    <t xml:space="preserve">MVC-119714</t>
  </si>
  <si>
    <t xml:space="preserve">No commands before authentication</t>
  </si>
  <si>
    <t xml:space="preserve">The system shall not transmit SOW1 control commands before successful SOW1 device authentication.</t>
  </si>
  <si>
    <t xml:space="preserve">Which commands are 'control commands'? Which I2C writes are allowed before authentication?</t>
  </si>
  <si>
    <t xml:space="preserve">Read literally, it blocks the writes needed to start the camera. Say 'protected' and list the commands.</t>
  </si>
  <si>
    <t xml:space="preserve">Saleae lists all writes to the imager, but the pass criterion needs the command list.</t>
  </si>
  <si>
    <t xml:space="preserve">The Volvo spec has no protected command channel.</t>
  </si>
  <si>
    <t xml:space="preserve">Concept says 'control commands', technical says 'protected'. Use one term.</t>
  </si>
  <si>
    <t xml:space="preserve">Linked to MVC-109119. SRS 108169.</t>
  </si>
  <si>
    <t xml:space="preserve">Auth blocked -&gt; Saleae: no protected writes
Auth OK -&gt; command sent</t>
  </si>
  <si>
    <t xml:space="preserve">MVC-113706</t>
  </si>
  <si>
    <t xml:space="preserve">Do not expose SSK</t>
  </si>
  <si>
    <t xml:space="preserve">The system shall not expose the active session key through any accessible interface during the active secure session.</t>
  </si>
  <si>
    <t xml:space="preserve">'Any accessible interface' needs a list: UART, JTAG, logs, diagnostics, memory dumps, I2C, flash.</t>
  </si>
  <si>
    <t xml:space="preserve">Negative test. It needs the interface list and the SSK value (from the SIM) to search for.</t>
  </si>
  <si>
    <t xml:space="preserve">The SSK sits in DRAM and authorised debug can read it. Exclude the key region or accept an exception.</t>
  </si>
  <si>
    <t xml:space="preserve">The technical requirement copies the concept text. The SRS has related requirements (108164, 108163, 108154, 108157).</t>
  </si>
  <si>
    <t xml:space="preserve">Linked to MVC-106571. Related: the debug and DRAM-protection requirements.</t>
  </si>
  <si>
    <t xml:space="preserve">Search all captures for SSK bytes
JTAG locked -&gt; denied</t>
  </si>
  <si>
    <t xml:space="preserve">MVC-119708</t>
  </si>
  <si>
    <t xml:space="preserve">No trust before session</t>
  </si>
  <si>
    <t xml:space="preserve">The system shall not accept SOW1 secured video stream data as trusted before successful SOW1 device authentication and secure session establishment.</t>
  </si>
  <si>
    <t xml:space="preserve">What happens to 'untrusted' video: dropped, or passed with a flag? (safety decision)</t>
  </si>
  <si>
    <t xml:space="preserve">Two very different implementations are possible. Define the reaction and who evaluates it.</t>
  </si>
  <si>
    <t xml:space="preserve">Visible only on the outgoing RTP stream (Wireshark) or a status signal.</t>
  </si>
  <si>
    <t xml:space="preserve">'Session established' is not defined (see 103034).</t>
  </si>
  <si>
    <t xml:space="preserve">Linked to MVC-109120. SRS 108138. The reaction is in no requirement.</t>
  </si>
  <si>
    <t xml:space="preserve">Auth blocked -&gt; Wireshark: no trusted video
Auth OK -&gt; video flows</t>
  </si>
  <si>
    <t xml:space="preserve">MVC-113702</t>
  </si>
  <si>
    <t xml:space="preserve">Command counter</t>
  </si>
  <si>
    <t xml:space="preserve">The system shall include a monotonically increasing Counter in each SOW1 control command transmitted.</t>
  </si>
  <si>
    <t xml:space="preserve">What are the counter width, start value and maximum behaviour? Does the imager check the counter?</t>
  </si>
  <si>
    <t xml:space="preserve">'Monotonic' allows equal values. Use 'strictly increasing, no reuse in a session' (SRS 108161) and state the wrap rule.</t>
  </si>
  <si>
    <t xml:space="preserve">Read the counters with Saleae. The maximum case needs a way to preset the counter.</t>
  </si>
  <si>
    <t xml:space="preserve">Replay protection exists only if the imager rejects old counters. Same open point as 113701.</t>
  </si>
  <si>
    <t xml:space="preserve">One of three steps of the protected command (see 113701).</t>
  </si>
  <si>
    <t xml:space="preserve">Linked to MVC-109121. SRS 108159, 108161.</t>
  </si>
  <si>
    <t xml:space="preserve">100 commands -&gt; counters strictly increase
Replay old command -&gt; rejected</t>
  </si>
  <si>
    <t xml:space="preserve">MVC-103057</t>
  </si>
  <si>
    <t xml:space="preserve">Generate 256-bit SSK</t>
  </si>
  <si>
    <t xml:space="preserve">The system shall generate a 256-bit cryptographically random session key (SSK) following successful Imager authentication.</t>
  </si>
  <si>
    <t xml:space="preserve">'New key every session' is only in the verification text. Add it to the requirement (SRS 108110).</t>
  </si>
  <si>
    <t xml:space="preserve">The SSK is visible only through the SIM. Randomness cannot be proven, only repeats can be checked.</t>
  </si>
  <si>
    <t xml:space="preserve">Overlaps 103042 (how) and 103036 (new each session). Keep length and uniqueness here.</t>
  </si>
  <si>
    <t xml:space="preserve">Linked to MVC-106568. SRS 108107, 108110.</t>
  </si>
  <si>
    <t xml:space="preserve">1000 sessions via SIM -&gt; 32 bytes, no repeats</t>
  </si>
  <si>
    <t xml:space="preserve">MVC-103031</t>
  </si>
  <si>
    <t xml:space="preserve">Extract frame counter</t>
  </si>
  <si>
    <t xml:space="preserve">The system shall extract the video frame counter from the embedded header data of each received SOW1 video frame and use the counter value for freshness validation.</t>
  </si>
  <si>
    <t xml:space="preserve">What are the counter width, the wrap behaviour and the start value?</t>
  </si>
  <si>
    <t xml:space="preserve">The window rule (113703) cannot be checked at the wrap without the width.</t>
  </si>
  <si>
    <t xml:space="preserve">Read the extracted counter with Lauterbach. The SIM sends boundary values.</t>
  </si>
  <si>
    <t xml:space="preserve">The counter is protected only if the header row is inside the CMAC rows (start row 0).</t>
  </si>
  <si>
    <t xml:space="preserve">'Use for freshness' duplicates 113703 and MVC-106575. Keep only the extraction here.</t>
  </si>
  <si>
    <t xml:space="preserve">Linked to MVC-113726 and MVC-106575. SRS 108099.</t>
  </si>
  <si>
    <t xml:space="preserve">SIM counters 1..N -&gt; Lauterbach matches
Missing header -&gt; rejected</t>
  </si>
  <si>
    <t xml:space="preserve">MVC-113705</t>
  </si>
  <si>
    <t xml:space="preserve">Extract tag from footer</t>
  </si>
  <si>
    <t xml:space="preserve">The system shall extract the received 128-bit AES-CMAC authentication tag from the embedded footer of each received SOW1 video frame.</t>
  </si>
  <si>
    <t xml:space="preserve">Where is the footer in the frame, how long is it, and what is the byte order? (Samsung note missing)</t>
  </si>
  <si>
    <t xml:space="preserve">The layout is needed to implement and test. Add the layout reference to the technical requirement.</t>
  </si>
  <si>
    <t xml:space="preserve">Internal step: read the buffer with Lauterbach, or infer it from acceptance (same as 119709).</t>
  </si>
  <si>
    <t xml:space="preserve">SWE: define the handling of a missing or short footer (SRS 108134), and of frames 1-17 that have no tag.</t>
  </si>
  <si>
    <t xml:space="preserve">An implementation step of 119709. Keep it at technical level or merge.</t>
  </si>
  <si>
    <t xml:space="preserve">Linked to MVC-106572. SRS 108140, 108129, 108134, 108132.</t>
  </si>
  <si>
    <t xml:space="preserve">SIM sends known tag T
Lauterbach: extracted = T
Short footer -&gt; rejected</t>
  </si>
  <si>
    <t xml:space="preserve">MVC-103055</t>
  </si>
  <si>
    <t xml:space="preserve">Encrypt SSK and Row_info</t>
  </si>
  <si>
    <t xml:space="preserve">The system shall encrypt the session key and selected row information using the 2048-bit device public key with RSAES-OAEP and SHA-256. (Note: row information format is defined by Samsung, chapter 5 Key sharing of the S5K3B6SA cybersecurity application note.)</t>
  </si>
  <si>
    <t xml:space="preserve">What is the message layout (SSK, Row_info_00/01), the OAEP label and the MGF1 hash? (Samsung note missing)</t>
  </si>
  <si>
    <t xml:space="preserve">Implementation and test need the layout. Put it in the technical requirement.</t>
  </si>
  <si>
    <t xml:space="preserve">OAEP is randomised, so compare plaintexts only. A known SSK needs a test hook.</t>
  </si>
  <si>
    <t xml:space="preserve">RSA-2048 with OAEP and SHA-256 holds at most 190 bytes, so a 32-byte SSK plus Row_info fits.</t>
  </si>
  <si>
    <t xml:space="preserve">Four technical requirements, three about row selection. Give row selection its own concept requirement.</t>
  </si>
  <si>
    <t xml:space="preserve">Linked to MVC-106580, 106576, 108741, 106574. SRS 108153, 108145.</t>
  </si>
  <si>
    <t xml:space="preserve">SIM decrypts key block -&gt; SSK + Row_info
Wrong key -&gt; fails</t>
  </si>
  <si>
    <t xml:space="preserve">MVC-103033</t>
  </si>
  <si>
    <t xml:space="preserve">Calculate frame CMAC</t>
  </si>
  <si>
    <t xml:space="preserve">The system shall calculate a 128-bit AES-CMAC tag over the selected rows of each video frame using the active 256-bit session key.</t>
  </si>
  <si>
    <t xml:space="preserve">Which exact bytes form the CMAC input: pixel data only, or line headers too? What is the row numbering base?</t>
  </si>
  <si>
    <t xml:space="preserve">Two implementations could produce different tags. Add the exact input and a Samsung test vector.</t>
  </si>
  <si>
    <t xml:space="preserve">A reference tag needs the SSK and the exact input, so it needs the SIM.</t>
  </si>
  <si>
    <t xml:space="preserve">SWE: state that the full 128-bit tag is used (no truncation), and how fast the host must compute it.</t>
  </si>
  <si>
    <t xml:space="preserve">Row selection is defined in four other requirements. Give it its own concept requirement.</t>
  </si>
  <si>
    <t xml:space="preserve">Linked to MVC-106583. SRS 108122, 108121, 108118.</t>
  </si>
  <si>
    <t xml:space="preserve">PyRef tag -&gt; SIM sends -&gt; accepted
Change selected byte -&gt; rejected</t>
  </si>
  <si>
    <t xml:space="preserve">MVC-113701</t>
  </si>
  <si>
    <t xml:space="preserve">CMAC over each command</t>
  </si>
  <si>
    <t xml:space="preserve">The system shall calculate a 128-bit AES-CMAC over each SOW1 control command using the established 256-bit session key.</t>
  </si>
  <si>
    <t xml:space="preserve">Does the imager verify command tags at all? What are the command format and the CMAC input?</t>
  </si>
  <si>
    <t xml:space="preserve">If the imager does not check, the tag adds nothing. Confirm support first, then fix the input (command + counter).</t>
  </si>
  <si>
    <t xml:space="preserve">The tag can be checked with PyRef. Imager rejection cannot be tested if it does not check.</t>
  </si>
  <si>
    <t xml:space="preserve">Concept says 'each command', SRS 108160 says 'only when supported by SOW1'. They conflict.</t>
  </si>
  <si>
    <t xml:space="preserve">113701, 119707 and 113702 are steps of one function. Merge into one 'protected command format'.</t>
  </si>
  <si>
    <t xml:space="preserve">Linked to MVC-108740. SRS 108160, 108159.</t>
  </si>
  <si>
    <t xml:space="preserve">Saleae: parse cmd | counter | tag
PyRef recomputes tag -&gt; equal</t>
  </si>
  <si>
    <t xml:space="preserve">MVC-107642</t>
  </si>
  <si>
    <t xml:space="preserve">Authenticate imager</t>
  </si>
  <si>
    <t xml:space="preserve">The system shall authenticate the Imager by verifying the digital signature received from the Imager over the I2C interface using the provisioned Samsung Root Public Key.</t>
  </si>
  <si>
    <t xml:space="preserve">Define Device_n, KID and Sig_device and the exact signed message. The Volvo spec says the signature covers the device key plus Device ID.</t>
  </si>
  <si>
    <t xml:space="preserve">The signed message must be defined byte for byte, or SOW2 and the test will disagree.</t>
  </si>
  <si>
    <t xml:space="preserve">Needs signatures from a test root key. Negative cases need the SIM.</t>
  </si>
  <si>
    <t xml:space="preserve">The signature is static (no challenge), so a copied record passes this step. Only the CMAC from frame 18 proves the private key.</t>
  </si>
  <si>
    <t xml:space="preserve">Three technical requirements verify it (request, verify, scheme). Keep one test per topic.</t>
  </si>
  <si>
    <t xml:space="preserve">Linked to MVC-106561, 106565, 106563. SRS 23.2.2 and 23.2.3.</t>
  </si>
  <si>
    <t xml:space="preserve">SIM genuine -&gt; key block follows
Flip 1 bit -&gt; rejected
Replayed copy -&gt; no valid frames</t>
  </si>
  <si>
    <t xml:space="preserve">MVC-119707</t>
  </si>
  <si>
    <t xml:space="preserve">Append tag to command</t>
  </si>
  <si>
    <t xml:space="preserve">The system shall append the calculated 128-bit AES-CMAC tag to each SOW1 control command before transmission.</t>
  </si>
  <si>
    <t xml:space="preserve">What is the field order and size in the I2C write? Where does the I2C CRC go?</t>
  </si>
  <si>
    <t xml:space="preserve">Define the command layout in the technical requirement, with an example.</t>
  </si>
  <si>
    <t xml:space="preserve">Easy with Saleae once the layout is defined.</t>
  </si>
  <si>
    <t xml:space="preserve">SWE: if CMAC generation fails, no command may be sent (SRS 108160). Add it.</t>
  </si>
  <si>
    <t xml:space="preserve">A step of the protected command (see 113701).</t>
  </si>
  <si>
    <t xml:space="preserve">Linked to MVC-106570. SRS 108160.</t>
  </si>
  <si>
    <t xml:space="preserve">Saleae: [cmd][counter][tag]
Force CMAC failure -&gt; nothing sent</t>
  </si>
  <si>
    <t xml:space="preserve">MVC-103040</t>
  </si>
  <si>
    <t xml:space="preserve">Extract device public key</t>
  </si>
  <si>
    <t xml:space="preserve">Following successful authentication, The system shall extract 2048-bit device public key from the Imager's authentication data.</t>
  </si>
  <si>
    <t xml:space="preserve">What is the key format: modulus only? Is the exponent fixed?</t>
  </si>
  <si>
    <t xml:space="preserve">Add sanity checks (2048 bit, odd modulus, exponent) before the key is used.</t>
  </si>
  <si>
    <t xml:space="preserve">Internal. Check it indirectly: the SIM decrypts the key block with its private key.</t>
  </si>
  <si>
    <t xml:space="preserve">The key is covered by the signature only if Device_n is the modulus.</t>
  </si>
  <si>
    <t xml:space="preserve">Linked to MVC-106577. SRS 108153.</t>
  </si>
  <si>
    <t xml:space="preserve">SIM decrypts key block -&gt; ok
Wrong-size key -&gt; rejected</t>
  </si>
  <si>
    <t xml:space="preserve">SOW 1 - SOW 2 interface TECHNICAL requirements (TCR)</t>
  </si>
  <si>
    <t xml:space="preserve">T1</t>
  </si>
  <si>
    <t xml:space="preserve">MVC-106582</t>
  </si>
  <si>
    <t xml:space="preserve">Same open question as concept 119709: how are frames 1-17 (no tag) handled?</t>
  </si>
  <si>
    <t xml:space="preserve">Text copies concept 119709. Add the how: AES-CMAC, 256-bit key, 128-bit tag over the rows set by 106576, 108741, 106574, 106583.</t>
  </si>
  <si>
    <t xml:space="preserve">Criteria are good: valid tag, flipped footer tag, modified data, partial 128-bit match. Needs the SIM to know the session key.</t>
  </si>
  <si>
    <t xml:space="preserve">'No partial match' is only in the criteria. Add 'all 128 bits' to the text.</t>
  </si>
  <si>
    <t xml:space="preserve">Identical text to concept MVC-119709. Merge with 106564 (reject).</t>
  </si>
  <si>
    <t xml:space="preserve">Satisfies MVC-119709. Test CS-SOW1-021.</t>
  </si>
  <si>
    <t xml:space="preserve">SIM: valid tag -&gt; accepted
Flip tag bit or change data -&gt; rejected
Tag with only 64 bits right -&gt; rejected</t>
  </si>
  <si>
    <t xml:space="preserve">T2</t>
  </si>
  <si>
    <t xml:space="preserve">MVC-106575</t>
  </si>
  <si>
    <t xml:space="preserve">Freshness, ordering, sequence</t>
  </si>
  <si>
    <t xml:space="preserve">The system shall verify the freshness, ordering, and sequence validity of each received SOW1 video frame using the frame counter embedded in the frame header.</t>
  </si>
  <si>
    <t xml:space="preserve">What is the 'specified counter-validation policy'? It is defined only in 113727.</t>
  </si>
  <si>
    <t xml:space="preserve">Overlaps 113727 (window rule). Reference 113727 here, or merge.</t>
  </si>
  <si>
    <t xml:space="preserve">Criteria cover duplicate, stale, out-of-order and boundary frames: same tests as 113727.</t>
  </si>
  <si>
    <t xml:space="preserve">A malformed or missing counter must never count as fresh (criterion 5). Add it to the text.</t>
  </si>
  <si>
    <t xml:space="preserve">Satisfies 103031 (extraction) but describes the validity check. Move it under 113703.</t>
  </si>
  <si>
    <t xml:space="preserve">Satisfies MVC-103031. Test CS-SOW1-023. Overlaps MVC-113727.</t>
  </si>
  <si>
    <t xml:space="preserve">SIM: increasing counters -&gt; accepted
Duplicate, stale, out of order -&gt; rejected
Missing counter -&gt; rejected</t>
  </si>
  <si>
    <t xml:space="preserve">T3</t>
  </si>
  <si>
    <t xml:space="preserve">MVC-106563</t>
  </si>
  <si>
    <t xml:space="preserve">The system shall use RSASSA-PSS whith SHA-256 to verify the Imager's digital signature (Sig_device).</t>
  </si>
  <si>
    <t xml:space="preserve">PSS salt length and MGF? Is PSS with SHA-256 the only scheme (the SRS lets KID select)?</t>
  </si>
  <si>
    <t xml:space="preserve">Define salt and MGF. Fix the typo 'whith' and the criteria numbering (step 3 is missing).</t>
  </si>
  <si>
    <t xml:space="preserve">Step 1 is an inspection. Wrong scheme or parameters must fail; salt cases are untestable until defined.</t>
  </si>
  <si>
    <t xml:space="preserve">Verification detail of 106565. Merge or reference it.</t>
  </si>
  <si>
    <t xml:space="preserve">Satisfies MVC-107642 only. MVC-107641 is not linked: add it. Test CS-SOW1-004.</t>
  </si>
  <si>
    <t xml:space="preserve">Code review: PSS + SHA-256
PyRef: PKCS#1 v1.5 or SHA-1 signature -&gt; rejected
Modify signed data -&gt; rejected</t>
  </si>
  <si>
    <t xml:space="preserve">T4</t>
  </si>
  <si>
    <t xml:space="preserve">MVC-106560</t>
  </si>
  <si>
    <t xml:space="preserve">Which DRBG and TRNG interface? Evidence for SP 800-90A?</t>
  </si>
  <si>
    <t xml:space="preserve">Same text as concept 103042. 'No insecure fallback' is only in the criteria: add it to the text.</t>
  </si>
  <si>
    <t xml:space="preserve">Steps 1-2 are a review. Steps 3-5 (inject a TRNG failure, no fallback) can be tested with Lauterbach.</t>
  </si>
  <si>
    <t xml:space="preserve">SWE: no reseed rule, and 'approved seeding mechanism' is not defined.</t>
  </si>
  <si>
    <t xml:space="preserve">Identical to concept 103042. Set the method to Review for the compliance part.</t>
  </si>
  <si>
    <t xml:space="preserve">Satisfies MVC-103042. Test CS-SOW1-011.</t>
  </si>
  <si>
    <t xml:space="preserve">Review DRBG + TRNG evidence
Lauterbach: force TRNG error -&gt; no key, no I2C key write</t>
  </si>
  <si>
    <t xml:space="preserve">T5</t>
  </si>
  <si>
    <t xml:space="preserve">MVC-106578</t>
  </si>
  <si>
    <t xml:space="preserve">The system shall transmit the encrypted session key and selected row information (Row_info) to SOW1 over the I2C interface.</t>
  </si>
  <si>
    <t xml:space="preserve">What are the message layout, length and field encoding? (Samsung note missing)</t>
  </si>
  <si>
    <t xml:space="preserve">The layout is called 'specified' but is not given. Add it.</t>
  </si>
  <si>
    <t xml:space="preserve">Saleae on the I2C bus; compare the block with the SIM's decryption. No transmission if authentication or encryption fails (criterion 6).</t>
  </si>
  <si>
    <t xml:space="preserve">SWE: the block may need several I2C writes; partial-write handling is undefined.</t>
  </si>
  <si>
    <t xml:space="preserve">Row_info appears here and in 106580. Keep 'what is sent' here, 'how it is encrypted' there.</t>
  </si>
  <si>
    <t xml:space="preserve">Satisfies MVC-103034. Test CS-SOW1-014.</t>
  </si>
  <si>
    <t xml:space="preserve">Saleae: key write only after auth OK, right length
SIM decrypts block -&gt; SSK + Row_info
Force encryption failure -&gt; no write</t>
  </si>
  <si>
    <t xml:space="preserve">T6</t>
  </si>
  <si>
    <t xml:space="preserve">MVC-106569</t>
  </si>
  <si>
    <t xml:space="preserve">The system shall terminate the SOW1 authentication process if authentication is not successfully completed after three authentication attempts.</t>
  </si>
  <si>
    <t xml:space="preserve">Three attempts here, 'configured maximum' in the concept. Which is right?</t>
  </si>
  <si>
    <t xml:space="preserve">Fix one rule. 106566 says retransmit 3 times (4 requests), this says 3 attempts.</t>
  </si>
  <si>
    <t xml:space="preserve">End state is checkable: unauthenticated, no session, no endless retransmission.</t>
  </si>
  <si>
    <t xml:space="preserve">No time limit between attempts, so 'indefinitely' cannot be bounded.</t>
  </si>
  <si>
    <t xml:space="preserve">Align the wording with 106566 (attempt vs retransmit).</t>
  </si>
  <si>
    <t xml:space="preserve">Satisfies MVC-103051. Test CS-SOW1-006.</t>
  </si>
  <si>
    <t xml:space="preserve">SIM never answers -&gt; Saleae: requests stop at the limit
Lauterbach: state UNAUTHENTICATED</t>
  </si>
  <si>
    <t xml:space="preserve">T7</t>
  </si>
  <si>
    <t xml:space="preserve">MVC-106581</t>
  </si>
  <si>
    <t xml:space="preserve">What are the 'recovery conditions' in step 5?</t>
  </si>
  <si>
    <t xml:space="preserve">Define when a new establishment may start after termination.</t>
  </si>
  <si>
    <t xml:space="preserve">End state is observable: not active, no more retries, key unused.</t>
  </si>
  <si>
    <t xml:space="preserve">SWE: erase the SSK of the failed attempt (SRS 108149).</t>
  </si>
  <si>
    <t xml:space="preserve">Same text as concept 103044.</t>
  </si>
  <si>
    <t xml:space="preserve">Satisfies MVC-103044. Test CS-SOW1-017.</t>
  </si>
  <si>
    <t xml:space="preserve">SIM never acks the key block -&gt; no key writes after 3 retries
Lauterbach: state INACTIVE, key buffer zero</t>
  </si>
  <si>
    <t xml:space="preserve">T8</t>
  </si>
  <si>
    <t xml:space="preserve">MVC-106562</t>
  </si>
  <si>
    <t xml:space="preserve">Which OTP/eFuse location? Why does step 4 mention the Secure Boot function?</t>
  </si>
  <si>
    <t xml:space="preserve">Criteria say the Secure Boot function reads this key, but the Samsung root and the secure-boot root are different. Fix the criteria.</t>
  </si>
  <si>
    <t xml:space="preserve">OTP is write-once: the immutability test destroys a sample. A test root key is needed.</t>
  </si>
  <si>
    <t xml:space="preserve">'Immutable after provisioning' is only in the criteria. Add it to the text (SRS 108142).</t>
  </si>
  <si>
    <t xml:space="preserve">Same text as concept 103063.</t>
  </si>
  <si>
    <t xml:space="preserve">Satisfies MVC-103063. SRS 108143. Test CS-SOW1-001.</t>
  </si>
  <si>
    <t xml:space="preserve">Lauterbach: read OTP location, hash = fingerprint
Try write -&gt; rejected</t>
  </si>
  <si>
    <t xml:space="preserve">T9</t>
  </si>
  <si>
    <t xml:space="preserve">MVC-106567</t>
  </si>
  <si>
    <t xml:space="preserve">What are the 'expected response' and the 'configured limit'?</t>
  </si>
  <si>
    <t xml:space="preserve">Define the response, the limit and the timeout.</t>
  </si>
  <si>
    <t xml:space="preserve">Count key writes with Saleae while the SIM withholds the response.</t>
  </si>
  <si>
    <t xml:space="preserve">Same text as concept 103046.</t>
  </si>
  <si>
    <t xml:space="preserve">Satisfies MVC-103046. Test CS-SOW1-016.</t>
  </si>
  <si>
    <t xml:space="preserve">SIM ignores the key block -&gt; Saleae counts writes
SIM answers on the 2nd -&gt; session established</t>
  </si>
  <si>
    <t xml:space="preserve">T10</t>
  </si>
  <si>
    <t xml:space="preserve">MVC-106566</t>
  </si>
  <si>
    <t xml:space="preserve">Retransmit authentication request</t>
  </si>
  <si>
    <t xml:space="preserve">The system shall retransmit the SOW1 authentication request up to three times if the expected authentication data is failed to be received.</t>
  </si>
  <si>
    <t xml:space="preserve">'Retransmit three times' means 4 requests. Is that intended?</t>
  </si>
  <si>
    <t xml:space="preserve">Contradicts 'three attempts' in 106569. One number is needed.</t>
  </si>
  <si>
    <t xml:space="preserve">Step 5 tests the last permitted attempt: a good boundary. Needs the SIM to answer late.</t>
  </si>
  <si>
    <t xml:space="preserve">Retry timing is missing.</t>
  </si>
  <si>
    <t xml:space="preserve">Retry here, terminate in 106569: align the wording.</t>
  </si>
  <si>
    <t xml:space="preserve">Satisfies MVC-103053. Test CS-SOW1-005.</t>
  </si>
  <si>
    <t xml:space="preserve">SIM silent -&gt; Saleae counts requests
SIM answers on the last allowed attempt -&gt; continues</t>
  </si>
  <si>
    <t xml:space="preserve">T11</t>
  </si>
  <si>
    <t xml:space="preserve">MVC-106573</t>
  </si>
  <si>
    <t xml:space="preserve">Session lifetime? What is a 'security failure'? Reset vs restart?</t>
  </si>
  <si>
    <t xml:space="preserve">Same gaps as concept 103036: two triggers are untestable.</t>
  </si>
  <si>
    <t xml:space="preserve">Criteria test each trigger alone, including old SSK refused and no resume before the new session.</t>
  </si>
  <si>
    <t xml:space="preserve">Identical to concept 103036; five triggers in one requirement.</t>
  </si>
  <si>
    <t xml:space="preserve">Satisfies MVC-103036. Test CS-SOW1-018.</t>
  </si>
  <si>
    <t xml:space="preserve">Per trigger: new auth + new key
Old-key frames -&gt; rejected
No protected traffic before the new session</t>
  </si>
  <si>
    <t xml:space="preserve">T12</t>
  </si>
  <si>
    <t xml:space="preserve">MVC-106561</t>
  </si>
  <si>
    <t xml:space="preserve">Request authentication data</t>
  </si>
  <si>
    <t xml:space="preserve">The system shall request the SOW1 device authentication data, including Device_n, KID, and Sig_device, from SOW1 over the I2C interface after reset or before starting the secure session.</t>
  </si>
  <si>
    <t xml:space="preserve">What is the 'defined authentication error and retry behavior' (step 5)?</t>
  </si>
  <si>
    <t xml:space="preserve">It is defined only in the retry requirements. Reference them.</t>
  </si>
  <si>
    <t xml:space="preserve">Saleae on reset: request sent to the configured device with the three fields.</t>
  </si>
  <si>
    <t xml:space="preserve">'Before starting the secure session' needs a precise definition.</t>
  </si>
  <si>
    <t xml:space="preserve">Request here, verification in 106565: fine.</t>
  </si>
  <si>
    <t xml:space="preserve">Satisfies MVC-107642. Test CS-SOW1-002.</t>
  </si>
  <si>
    <t xml:space="preserve">Reset -&gt; Saleae: auth read request to the imager
SIM incomplete answer -&gt; handled as missing data</t>
  </si>
  <si>
    <t xml:space="preserve">T13</t>
  </si>
  <si>
    <t xml:space="preserve">MVC-113727</t>
  </si>
  <si>
    <t xml:space="preserve">Counter width, wrap and first-frame value?</t>
  </si>
  <si>
    <t xml:space="preserve">More than 3 lost frames freeze the video. Add a recovery rule.</t>
  </si>
  <si>
    <t xml:space="preserve">Very good boundary list (equal, lower, +1, +2, +3, +4). Wrap is untestable.</t>
  </si>
  <si>
    <t xml:space="preserve">SWE: 'update only after authentication' is in the criteria, not in the text. Add it.</t>
  </si>
  <si>
    <t xml:space="preserve">Identical to concept 113703.</t>
  </si>
  <si>
    <t xml:space="preserve">Satisfies MVC-113703. Test CS-SOW1-026.</t>
  </si>
  <si>
    <t xml:space="preserve">SIM (valid CMAC): n+1, n+3 accepted; duplicate, n+4 rejected
Forged counter + wrong tag -&gt; rejected</t>
  </si>
  <si>
    <t xml:space="preserve">T14</t>
  </si>
  <si>
    <t xml:space="preserve">MVC-106564</t>
  </si>
  <si>
    <t xml:space="preserve">What does 'rejected' do with the frame?</t>
  </si>
  <si>
    <t xml:space="preserve">Define: drop, count, log, continue.</t>
  </si>
  <si>
    <t xml:space="preserve">Criteria cover bad tag and modified data; the frame must not be forwarded as trusted, nor accepted later by another path.</t>
  </si>
  <si>
    <t xml:space="preserve">SWE: no limit for repeated bad frames.</t>
  </si>
  <si>
    <t xml:space="preserve">Identical to concept 119710. Merge with 106582.</t>
  </si>
  <si>
    <t xml:space="preserve">Satisfies MVC-119710. Test CS-SOW1-022.</t>
  </si>
  <si>
    <t xml:space="preserve">T15</t>
  </si>
  <si>
    <t xml:space="preserve">MVC-106571</t>
  </si>
  <si>
    <t xml:space="preserve">List the 'accessible interfaces' in the text. The criteria already name diagnostics, logs, debug, communication and memory paths.</t>
  </si>
  <si>
    <t xml:space="preserve">Needs the SSK from the SIM and captures on each interface. Step 5 needs a defined 'authorized boundary'.</t>
  </si>
  <si>
    <t xml:space="preserve">The SSK sits in DRAM and authorised debug can read it. Exclude it or accept an exception.</t>
  </si>
  <si>
    <t xml:space="preserve">Identical to concept 113706.</t>
  </si>
  <si>
    <t xml:space="preserve">Satisfies MVC-113706. Test CS-SOW1-015.</t>
  </si>
  <si>
    <t xml:space="preserve">Search all captures for SSK bytes
JTAG locked -&gt; denied
Read logs after failures -&gt; no key</t>
  </si>
  <si>
    <t xml:space="preserve">T16</t>
  </si>
  <si>
    <t xml:space="preserve">MVC-109120</t>
  </si>
  <si>
    <t xml:space="preserve">How is 'trusted' marked: dropped or flagged? (safety decision)</t>
  </si>
  <si>
    <t xml:space="preserve">Define the reaction for untrusted video.</t>
  </si>
  <si>
    <t xml:space="preserve">Criteria cover before authentication, after failure, after termination, and 'trusted processing' after a valid session.</t>
  </si>
  <si>
    <t xml:space="preserve">'Trusted' also depends on integrity and freshness (step 5). Say so in the text.</t>
  </si>
  <si>
    <t xml:space="preserve">Identical to concept 119708.</t>
  </si>
  <si>
    <t xml:space="preserve">Satisfies MVC-119708. Test CS-SOW1-024.</t>
  </si>
  <si>
    <t xml:space="preserve">T17</t>
  </si>
  <si>
    <t xml:space="preserve">MVC-109121</t>
  </si>
  <si>
    <t xml:space="preserve">The system shall include a monotonically increasing Counter in each protected SOW1 control command.</t>
  </si>
  <si>
    <t xml:space="preserve">Counter width? What are the 'exhaustion/rollover policy' and 'initialization policy'?</t>
  </si>
  <si>
    <t xml:space="preserve">Both policies are in the criteria but defined nowhere. Define them.</t>
  </si>
  <si>
    <t xml:space="preserve">The maximum case needs a way to preset the counter.</t>
  </si>
  <si>
    <t xml:space="preserve">'Monotonically' allows equal values: use 'strictly increasing'. The imager must check it.</t>
  </si>
  <si>
    <t xml:space="preserve">'Protected' command here, 'control command' in concept 113702.</t>
  </si>
  <si>
    <t xml:space="preserve">Satisfies MVC-113702. Test CS-SOW1-030.</t>
  </si>
  <si>
    <t xml:space="preserve">100 commands -&gt; counters strictly increase
Reset -&gt; counter restarts as defined
Replay old command -&gt; rejected</t>
  </si>
  <si>
    <t xml:space="preserve">T18</t>
  </si>
  <si>
    <t xml:space="preserve">MVC-106568</t>
  </si>
  <si>
    <t xml:space="preserve">The system shall generate a 256-bit cryptographically random session key (SSK) following successful authentication.</t>
  </si>
  <si>
    <t xml:space="preserve">'New key every session' is only in the criteria. Add it to the text.</t>
  </si>
  <si>
    <t xml:space="preserve">The SSK is visible only through the SIM. Check length and uniqueness over many sessions.</t>
  </si>
  <si>
    <t xml:space="preserve">Overlaps 106560 (how) and 106573 (new each session).</t>
  </si>
  <si>
    <t xml:space="preserve">Satisfies MVC-103057. SRS 108110. Test CS-SOW1-010.</t>
  </si>
  <si>
    <t xml:space="preserve">1000 sessions via SIM -&gt; 32 bytes, no repeats
Auth failure -&gt; no key block</t>
  </si>
  <si>
    <t xml:space="preserve">T19</t>
  </si>
  <si>
    <t xml:space="preserve">MVC-113726</t>
  </si>
  <si>
    <t xml:space="preserve">Counter width and supported range?</t>
  </si>
  <si>
    <t xml:space="preserve">Define the counter range (step 4 refers to the 'supported counter range').</t>
  </si>
  <si>
    <t xml:space="preserve">Read the counter with Lauterbach. A malformed header must not authorise a frame.</t>
  </si>
  <si>
    <t xml:space="preserve">The counter is authenticated only if the header row is in the CMAC rows (106576).</t>
  </si>
  <si>
    <t xml:space="preserve">Identical to concept 103031. The freshness use is in 106575 and 113727.</t>
  </si>
  <si>
    <t xml:space="preserve">Satisfies MVC-103031. Test CS-SOW1-025.</t>
  </si>
  <si>
    <t xml:space="preserve">SIM counters 1..N -&gt; Lauterbach matches
Missing or short header -&gt; rejected</t>
  </si>
  <si>
    <t xml:space="preserve">T20</t>
  </si>
  <si>
    <t xml:space="preserve">MVC-106572</t>
  </si>
  <si>
    <t xml:space="preserve">Footer position and byte order? (Samsung note missing)</t>
  </si>
  <si>
    <t xml:space="preserve">'Defined footer field' is not defined. Add it.</t>
  </si>
  <si>
    <t xml:space="preserve">Known tags in, extracted value compared. Malformed footers must not count as extracted.</t>
  </si>
  <si>
    <t xml:space="preserve">No footer tag in frames 1-17.</t>
  </si>
  <si>
    <t xml:space="preserve">Identical to concept 113705. A step of 106582.</t>
  </si>
  <si>
    <t xml:space="preserve">Satisfies MVC-113705. Test CS-SOW1-019.</t>
  </si>
  <si>
    <t xml:space="preserve">T21</t>
  </si>
  <si>
    <t xml:space="preserve">MVC-106574</t>
  </si>
  <si>
    <t xml:space="preserve">Selected row range</t>
  </si>
  <si>
    <t xml:space="preserve">The system shall ensure that the selected row range does not exceed the total vertical data size, including the image data and embedded header and statistics data, according to the following constraint:
start + 1 + (interval + 1) × (total − 1) ≤ ysize_image + ysize_embedded_data
where start is the starting row, interval is the row interval, total is the number of selected rows, and ysize_image and ysize_embedded_data are the vertical sizes of the image and embedded data.</t>
  </si>
  <si>
    <t xml:space="preserve">Is 'start' 0-based, and does 'total' include the header row?</t>
  </si>
  <si>
    <t xml:space="preserve">Define the indexing so the boundary test is unambiguous.</t>
  </si>
  <si>
    <t xml:space="preserve">Good boundary tests: exact fit accepted, one row more rejected, minimum values.</t>
  </si>
  <si>
    <t xml:space="preserve">SWE: use the real configured sizes and avoid integer overflow or truncation (criterion 5).</t>
  </si>
  <si>
    <t xml:space="preserve">Row rules sit under concept 103055 (encrypt). Give row selection its own concept requirement.</t>
  </si>
  <si>
    <t xml:space="preserve">Satisfies MVC-103055. Test CS-SOW1-009.</t>
  </si>
  <si>
    <t xml:space="preserve">Configure start/interval/total at the exact limit -&gt; accepted
One row over -&gt; rejected or corrected</t>
  </si>
  <si>
    <t xml:space="preserve">T22</t>
  </si>
  <si>
    <t xml:space="preserve">MVC-106580</t>
  </si>
  <si>
    <t xml:space="preserve">The system shall encrypt the session key and selected row information (Row_info) using the 2048-bit device public key with RSAES-OAEP and SHA-256.</t>
  </si>
  <si>
    <t xml:space="preserve">OAEP label and MGF? Step 6 says to check them against the 'approved interface specification'. Which one?</t>
  </si>
  <si>
    <t xml:space="preserve">Name the specification (Samsung note) and put label and MGF in the text.</t>
  </si>
  <si>
    <t xml:space="preserve">OAEP is random, so compare plaintexts only. A known SSK needs a test hook.</t>
  </si>
  <si>
    <t xml:space="preserve">RSA-2048 with OAEP and SHA-256 holds at most 190 bytes, so SSK + Row_info fits.</t>
  </si>
  <si>
    <t xml:space="preserve">Row_info appears here and in 106578. Keep the encryption here.</t>
  </si>
  <si>
    <t xml:space="preserve">Satisfies MVC-103055. SRS 108153. Test CS-SOW1-013.</t>
  </si>
  <si>
    <t xml:space="preserve">SIM decrypts key block (OAEP, SHA-256) -&gt; SSK + Row_info
Wrong private key -&gt; fails</t>
  </si>
  <si>
    <t xml:space="preserve">T23</t>
  </si>
  <si>
    <t xml:space="preserve">MVC-106576</t>
  </si>
  <si>
    <t xml:space="preserve">Row start value</t>
  </si>
  <si>
    <t xml:space="preserve">The system shall configure the row start value of Row_info_00 or Row_info_01 to either 0 or 1 to include the embedded header containing the video frame counter in the AES-CMAC input.
Note: If Row start value set as 0, first line will be included as a AES-CMAC input. - If Row start value set as 1, second line will be included as a AES-CMAC input.</t>
  </si>
  <si>
    <t xml:space="preserve">What is the 'configuration-validation policy' for values other than 0 and 1?</t>
  </si>
  <si>
    <t xml:space="preserve">Say 'rejected' instead of 'rejected or handled by policy'.</t>
  </si>
  <si>
    <t xml:space="preserve">Check start 0 and 1, the encoding in Row_info, and invalid values.</t>
  </si>
  <si>
    <t xml:space="preserve">Start 0 puts the header with the frame counter inside the CMAC, which authenticates the counter. State this reason in the text.</t>
  </si>
  <si>
    <t xml:space="preserve">Row rules: see 106574. Give them their own concept requirement.</t>
  </si>
  <si>
    <t xml:space="preserve">Satisfies MVC-103055. Test CS-SOW1-007.</t>
  </si>
  <si>
    <t xml:space="preserve">Configure start 0 -&gt; header row in CMAC input
Start 1 -&gt; second line
Start 2 -&gt; rejected</t>
  </si>
  <si>
    <t xml:space="preserve">T24</t>
  </si>
  <si>
    <t xml:space="preserve">MVC-108741</t>
  </si>
  <si>
    <t xml:space="preserve">Row interval</t>
  </si>
  <si>
    <t xml:space="preserve">The system shall configure the row interval to be at least 10 for Merge Compressed or Merged output mode (RAW12, RAW14, RAW16, RAW20, and RAW24), and at least 30 for Line Reorder mode (RAW12), to ensure that AES-CMAC calculation for the preceding selected row is completed before the next selected row is input for AES-CMAC calculation.
Note: Row information format is defined by Samsung, which is described in ‘5 Key sharing’ chapter in S5K3B6SA - Cybersecurity Application note documnet.</t>
  </si>
  <si>
    <t xml:space="preserve">What interval applies to the other output modes? Step 4 says not 'an unrelated mode's minimum'.</t>
  </si>
  <si>
    <t xml:space="preserve">List every supported mode with its minimum interval.</t>
  </si>
  <si>
    <t xml:space="preserve">Step 3 measures CMAC timing per row on the imager: needs a frame capture and a timing reference.</t>
  </si>
  <si>
    <t xml:space="preserve">The rule protects the imager's timing, not SOW2. State that SOW2 configures it and who enforces it.</t>
  </si>
  <si>
    <t xml:space="preserve">Row rules: see 106574.</t>
  </si>
  <si>
    <t xml:space="preserve">Satisfies MVC-103055. Test CS-SOW1-008.</t>
  </si>
  <si>
    <t xml:space="preserve">RAW12 merged mode: interval &lt; 10 -&gt; refused
Line reorder: interval &lt; 30 -&gt; refused
Unsupported mode -&gt; no borrowed minimum</t>
  </si>
  <si>
    <t xml:space="preserve">T25</t>
  </si>
  <si>
    <t xml:space="preserve">MVC-106583</t>
  </si>
  <si>
    <t xml:space="preserve">The system shall calculate a 128-bit AES-CMAC tag over the selected rows of each video frame using the active 256-bit AES session key.</t>
  </si>
  <si>
    <t xml:space="preserve">Exact CMAC input and the 'approved input encoding'?</t>
  </si>
  <si>
    <t xml:space="preserve">Add the exact input and a Samsung test vector.</t>
  </si>
  <si>
    <t xml:space="preserve">Reference tag from PyRef with the SSK from the SIM. Criterion 6: not a fixed or old key.</t>
  </si>
  <si>
    <t xml:space="preserve">SWE: state that the full 128-bit tag is used (no truncation).</t>
  </si>
  <si>
    <t xml:space="preserve">Text says 'AES session key', the concept says 'session key'. Use one term.</t>
  </si>
  <si>
    <t xml:space="preserve">Satisfies MVC-103033. Test CS-SOW1-020.</t>
  </si>
  <si>
    <t xml:space="preserve">PyRef tag -&gt; SIM sends frame -&gt; accepted
Change a selected byte -&gt; rejected
Previous-session key -&gt; rejected</t>
  </si>
  <si>
    <t xml:space="preserve">T26</t>
  </si>
  <si>
    <t xml:space="preserve">MVC-108740</t>
  </si>
  <si>
    <t xml:space="preserve">Calculate command CMAC</t>
  </si>
  <si>
    <t xml:space="preserve">What is the 'command's specified authenticated input'? Does the imager check the tag?</t>
  </si>
  <si>
    <t xml:space="preserve">Define the input (command + counter, SRS 108159). Confirm imager support.</t>
  </si>
  <si>
    <t xml:space="preserve">Concept says 'each command', SRS says 'only if supported by SOW1'. Conflict.</t>
  </si>
  <si>
    <t xml:space="preserve">Identical to concept 113701. Merge with 106570 and 109121.</t>
  </si>
  <si>
    <t xml:space="preserve">Satisfies MVC-113701. Test CS-SOW1-028.</t>
  </si>
  <si>
    <t xml:space="preserve">Saleae: parse cmd | counter | tag
PyRef recomputes tag -&gt; equal
Previous-session key -&gt; tag differs</t>
  </si>
  <si>
    <t xml:space="preserve">T27</t>
  </si>
  <si>
    <t xml:space="preserve">MVC-106565</t>
  </si>
  <si>
    <t xml:space="preserve">Authenticate SOW1 signature</t>
  </si>
  <si>
    <t xml:space="preserve">The system shall authenticate SOW1 by verifying Sig_device over Device_n and KID using the trusted RSA-2048 Samsung Root Public Key.</t>
  </si>
  <si>
    <t xml:space="preserve">Is Device_n the key modulus and KID the Device ID? The Volvo spec says the signature covers the device key plus Device ID.</t>
  </si>
  <si>
    <t xml:space="preserve">Define the signed message byte for byte.</t>
  </si>
  <si>
    <t xml:space="preserve">Good negative cases: modified Device_n, modified KID, wrong signature, untrusted key. Needs a test root key and the SIM.</t>
  </si>
  <si>
    <t xml:space="preserve">The signature is static (no challenge), so a copied record passes this step.</t>
  </si>
  <si>
    <t xml:space="preserve">Satisfies MVC-107642. Test CS-SOW1-003.</t>
  </si>
  <si>
    <t xml:space="preserve">SIM genuine data -&gt; key block follows
Flip 1 bit in Device_n or KID -&gt; rejected
Untrusted key -&gt; rejected</t>
  </si>
  <si>
    <t xml:space="preserve">T28</t>
  </si>
  <si>
    <t xml:space="preserve">MVC-106570</t>
  </si>
  <si>
    <t xml:space="preserve">Append command tag</t>
  </si>
  <si>
    <t xml:space="preserve">Field order, encoding, and where does the I2C CRC go?</t>
  </si>
  <si>
    <t xml:space="preserve">Define the layout with an example.</t>
  </si>
  <si>
    <t xml:space="preserve">Saleae shows command followed by tag; different commands get different tags.</t>
  </si>
  <si>
    <t xml:space="preserve">SWE: no command is sent as protected if CMAC calculation fails (criterion 6, SRS 108160). Add it to the text.</t>
  </si>
  <si>
    <t xml:space="preserve">Identical to concept 119707.</t>
  </si>
  <si>
    <t xml:space="preserve">Satisfies MVC-119707. Test CS-SOW1-029.</t>
  </si>
  <si>
    <t xml:space="preserve">Saleae: [cmd][counter][16-byte tag] in order
Force CMAC failure -&gt; not sent as protected</t>
  </si>
  <si>
    <t xml:space="preserve">T29</t>
  </si>
  <si>
    <t xml:space="preserve">MVC-109119</t>
  </si>
  <si>
    <t xml:space="preserve">The SOW2 shall not transmit protected SOW1 control commands before successful authentication.</t>
  </si>
  <si>
    <t xml:space="preserve">Which commands are 'protected'?</t>
  </si>
  <si>
    <t xml:space="preserve">List them. This text says 'The SOW2', the others say 'The system': use one subject.</t>
  </si>
  <si>
    <t xml:space="preserve">Saleae lists all writes to the imager. The allowed pre-authentication writes must be listed.</t>
  </si>
  <si>
    <t xml:space="preserve">Step 4 also needs the 'other secure-session requirements'. Name them.</t>
  </si>
  <si>
    <t xml:space="preserve">Concept says 'control commands', this says 'protected'.</t>
  </si>
  <si>
    <t xml:space="preserve">Satisfies MVC-119714. Test CS-SOW1-027.</t>
  </si>
  <si>
    <t xml:space="preserve">Auth blocked -&gt; Saleae: no protected writes
Session ended -&gt; commands stop</t>
  </si>
  <si>
    <t xml:space="preserve">T30</t>
  </si>
  <si>
    <t xml:space="preserve">MVC-106577</t>
  </si>
  <si>
    <t xml:space="preserve">Key format: modulus only? Exponent?</t>
  </si>
  <si>
    <t xml:space="preserve">Add sanity checks before use. Criterion 5 already says invalid keys must not be used.</t>
  </si>
  <si>
    <t xml:space="preserve">SIM decrypts the key block: success proves the right key was used.</t>
  </si>
  <si>
    <t xml:space="preserve">Covered by the signature only if Device_n is the modulus.</t>
  </si>
  <si>
    <t xml:space="preserve">Identical to concept 103040.</t>
  </si>
  <si>
    <t xml:space="preserve">Satisfies MVC-103040. Test CS-SOW1-012.</t>
  </si>
  <si>
    <t xml:space="preserve">SIM decrypts key block with its private key -&gt; ok
Wrong-size or zero key -&gt; rejected</t>
  </si>
  <si>
    <t xml:space="preserve">Outline</t>
  </si>
  <si>
    <t xml:space="preserve">CAL</t>
  </si>
  <si>
    <t xml:space="preserve">Method</t>
  </si>
  <si>
    <t xml:space="preserve">Technical requirement(s) and tests</t>
  </si>
  <si>
    <t xml:space="preserve">SIQ (questions to raise)</t>
  </si>
  <si>
    <t xml:space="preserve">Date</t>
  </si>
  <si>
    <t xml:space="preserve">2.2.1.1.4-4</t>
  </si>
  <si>
    <t xml:space="preserve">CAL 2</t>
  </si>
  <si>
    <t xml:space="preserve">Test</t>
  </si>
  <si>
    <t xml:space="preserve">MVC-106582. Test: CS-SOW1-021.</t>
  </si>
  <si>
    <t xml:space="preserve">• SIQ-1 (concept owner, Bosch, Volvo): the Volvo spec says the CMAC is available only from the 18th frame ("the first 17 frames are without the AES-CMAC Tag"). How must SOW2 treat frames 1 to 17: accept as untrusted, drop, or show? Do the 17 frames count from stream start or from the moment the key reaches the imager?
• SIQ-2 (Samsung, Bosch): the tag covers only the rows chosen by Start H, Interval H, Total H. Which rows does our concept choose, and is a sparse selection accepted as residual risk?</t>
  </si>
  <si>
    <t xml:space="preserve">• Impact: the text says every frame is verified. The imager cannot do that. A tester has no pass criterion for frames 1 to 17, and a reader may think the whole frame is protected.
• Proposal: reword to "…each SOW1 video frame that carries an AES-CMAC tag, by comparing the 128-bit tag calculated over the selected rows with the tag received in the frame footer". Add a separate requirement for the frames without a tag. Add that this applies from C1-sample on (the B1/B2-sample settings table in the Volvo spec lists AES-CMAC as "None").</t>
  </si>
  <si>
    <t xml:space="preserve">• The comparison is internal. Only the outcome is visible (accepted, rejected, log entry), which is the same observable as 119710. Proposal: use the security log entry that SRS MVC-108108 already requires as the pass criterion for both.
• "Invalid tag" is not defined. Use: one flipped bit in the tag, truncated tag, tag from another session key, all-zero tag, correct tag on modified data.
• A test needs the session key to build a valid frame, but 113706 forbids exposing it. With a real imager the tester cannot know the key. A SIM that holds the device private key can decrypt the key that SOW2 sends, so it is the base setup.</t>
  </si>
  <si>
    <t xml:space="preserve">• The wording overstates the protection: unselected rows, statistics and other data are not authenticated, and MVC-103033 itself says "selected rows". Record which attacks the sparse selection stops and which not.
• Frames 1 to 17 (SIQ-1).
• No latency limit for holding a frame until it is verified. The frame-timing analysis (Analysis/SG2_Frame_Timing_Requirements_Analysis.docx) was not checked for one.</t>
  </si>
  <si>
    <t xml:space="preserve">• 119709 and 119710 describe one function in two halves, and the SRS has the same pair (MVC-108117, MVC-108116). Merge them, or make the split clear: 119709 defines the comparison, 119710 defines the reaction.
• The technical requirement MVC-106582 has exactly the same text. It should say the algorithm (AES-CMAC, 256-bit key, 128-bit tag), the input (rows set by MVC-106576, 108741, 106574, 106583) and that all 128 bits must match.</t>
  </si>
  <si>
    <t xml:space="preserve">• Downstream link to MVC-106582 is fine, in both directions.
• Upstream: it links to MVC-106231, the same item that the debug and hardware-protection requirements link to, so it is not specific. MVC-106231 is not in the exports.
• SRS candidates: 23.2.5.2 (MVC-108122, 108112, 108117), no link in my files. The 17-frame rule is in no requirement.</t>
  </si>
  <si>
    <t xml:space="preserve">SIM: build frame N with SSK_sim (decrypted from the key block SOW2 sent), selected rows, valid tag
TE-1190: inject frame            -&gt; expect: frame passed on (Wireshark: RTP packet appears; log: no CMAC failure)
repeat with: tag bit flipped / tag truncated / tag from another key / tag = 0 / data row modified, tag unchanged
                                 -&gt; expect: each rejected, log entry "CMAC failed" (UART log)
partial match: tag with only first 64 bits right -&gt; expect: rejected
Decision: OPEN
---</t>
  </si>
  <si>
    <t xml:space="preserve">2.2.1.1.2-2</t>
  </si>
  <si>
    <t xml:space="preserve">MVC-106563 (no link back in Polarion). Test: CS-SOW1-004.</t>
  </si>
  <si>
    <t xml:space="preserve">PSS parameters: salt length, mask generation function (MGF1 with SHA-256?). And the SRS lets KID choose scheme and hash (MVC-108135, 108120). Is PSS with SHA-256 the only supported one?</t>
  </si>
  <si>
    <t xml:space="preserve">if only one scheme exists, tell the SRS to drop the selection by KID. If KID selects among several, this requirement must say which values of KID are accepted.</t>
  </si>
  <si>
    <t xml:space="preserve">partly an inspection (the technical verification criteria say "implementation inspection"). The black-box part: signatures made with PKCS#1 v1.5, other hashes or other salt lengths must fail. The salt-length case cannot be written until the salt is defined.</t>
  </si>
  <si>
    <t xml:space="preserve">salt length, MGF and exponent are not stated.</t>
  </si>
  <si>
    <t xml:space="preserve">it is a property of the verification in 107642, not a stand-alone behaviour. Proposal: merge into 107642 or keep as a technical detail.</t>
  </si>
  <si>
    <t xml:space="preserve">the technical requirement MVC-106563 does not link to it (only to 107642). Add the link. SRS MVC-108120, 108135, 108136.</t>
  </si>
  <si>
    <t xml:space="preserve">Code review: verify call = RSASSA-PSS + SHA-256 (CS-SOW1-004 step 1)
PyRef: sign (Device_n||KID) with test root key:
   PSS+SHA-256   -&gt; SIM serves -&gt; expect: accepted
   PKCS#1 v1.5   -&gt; expect: rejected
   PSS+SHA-1 or SHA-384 -&gt; expect: rejected
   PSS+SHA-256, other salt length -&gt; expect: as defined (once the salt is fixed)
Decision: OPEN
---</t>
  </si>
  <si>
    <t xml:space="preserve">2.2.1.1.3-3</t>
  </si>
  <si>
    <t xml:space="preserve">MVC-106560. Test: CS-SOW1-011.</t>
  </si>
  <si>
    <t xml:space="preserve">which DRBG and which TRNG interface is used, and is there evidence for SP 800-90A conformity and for the quality of the TRNG?</t>
  </si>
  <si>
    <t xml:space="preserve">"compliant with SP 800-90A" is a design property, not testable from outside. Proposal: change the method to Review (design and code evidence), and keep a test only for the failure behaviour.</t>
  </si>
  <si>
    <t xml:space="preserve">black-box tests can only show uniqueness. Failure injection (TRNG returns an error) can be done by forcing the return value with Lauterbach.</t>
  </si>
  <si>
    <t xml:space="preserve">SP 800-90A defines the DRBG, not the entropy source (SP 800-90B). Reseeding is not mentioned. Proposal: add a reseed rule.</t>
  </si>
  <si>
    <t xml:space="preserve">overlaps the debug requirement MVC-103050 (also TRNG). Both depend on the same driver.</t>
  </si>
  <si>
    <t xml:space="preserve">MVC-106560. SRS MVC-108106, 108109. Also SRS 23.1.1.2 (DTLS) uses the same source.</t>
  </si>
  <si>
    <t xml:space="preserve">Review: CSPRNG library = SP 800-90A DRBG? seed source = SoC TRNG API? -&gt; collect evidence
Lauterbach: breakpoint on TRNG read, force error  -&gt; expect: session aborted, no key block on I2C (Saleae)
collect 1000 SSKs via SIM                        -&gt; expect: no repeat
Decision: OPEN
---</t>
  </si>
  <si>
    <t xml:space="preserve">2.2.1.1.3-5</t>
  </si>
  <si>
    <t xml:space="preserve">MVC-106578. Test: CS-SOW1-014.</t>
  </si>
  <si>
    <t xml:space="preserve">how does SOW2 learn that the imager accepted the key block? What is "the expected response" used in 103046?</t>
  </si>
  <si>
    <t xml:space="preserve">no requirement says when a session counts as established. Without it 119708, 103046 and 103044 cannot be tested. Proposal: add one requirement, for example "the session is established when the imager acknowledges the key block and the first valid tagged frame is received".</t>
  </si>
  <si>
    <t xml:space="preserve">capturing the write on the SoC to deserializer I2C bus is possible. The message layout comes from the Samsung note.</t>
  </si>
  <si>
    <t xml:space="preserve">the Volvo spec configures "I2C CRC ON" for the C1-sample, so the transfer is protected by CRC at transport level. The key block of about 256 bytes may need several I2C writes: partial writes need a defined reaction.</t>
  </si>
  <si>
    <t xml:space="preserve">the concept says "transmit ... to the Imager", the technical requirement adds "over the I2C interface". Fine.</t>
  </si>
  <si>
    <t xml:space="preserve">MVC-106578. SRS MVC-108146, 108145.</t>
  </si>
  <si>
    <t xml:space="preserve">Saleae: after authentication OK, capture the writes to the imager key register(s) -&gt; expect: encrypted block, correct length
check order: auth read -&gt; verify -&gt; key write (no key write before auth OK)
SIM acknowledges                  -&gt; Lauterbach: state = SESSION_ACTIVE
SIM stays silent                  -&gt; state != SESSION_ACTIVE
Decision: OPEN
---</t>
  </si>
  <si>
    <t xml:space="preserve">2.2.1.1.2-4</t>
  </si>
  <si>
    <t xml:space="preserve">MVC-106569. Test: CS-SOW1-006.</t>
  </si>
  <si>
    <t xml:space="preserve">after termination, what does the ECU do: stay without video, try again later, or enter a safe state? And when is another attempt allowed (only after reset?).</t>
  </si>
  <si>
    <t xml:space="preserve">this is a cybersecurity failure that can switch off a camera image. Define the system reaction together with the FuSa team. Proposal: add the reaction and the rule for a later new attempt.</t>
  </si>
  <si>
    <t xml:space="preserve">the end state (UNAUTHENTICATED, no key sent, no trusted video) is observable with Lauterbach, Saleae and Wireshark. "Does not retry indefinitely" needs a long observation time (define it).</t>
  </si>
  <si>
    <t xml:space="preserve">the concept says "configured maximum", the technical requirement says a fixed "three". Fixed or configurable, and where is it configured?</t>
  </si>
  <si>
    <t xml:space="preserve">see 103053.</t>
  </si>
  <si>
    <t xml:space="preserve">MVC-106569. SRS MVC-108124 (terminate if data incomplete) is similar but not the same.</t>
  </si>
  <si>
    <t xml:space="preserve">SIM never gives valid data; reset
Saleae: wait 60 s after the last retry       -&gt; expect: no further auth requests, no key write
Lauterbach: read auth state                  -&gt; expect: UNAUTHENTICATED
SIM then sends frames with a valid tag       -&gt; expect: still rejected (see 119708)
Power cycle                                  -&gt; expect: a new authentication attempt starts
Decision: OPEN
---</t>
  </si>
  <si>
    <t xml:space="preserve">2.2.1.1.3-8</t>
  </si>
  <si>
    <t xml:space="preserve">MVC-106581. Test: CS-SOW1-017.</t>
  </si>
  <si>
    <t xml:space="preserve">the reaction after termination (no video, new full authentication later, safe state). Same question as entry 12.</t>
  </si>
  <si>
    <t xml:space="preserve">define what happens next and whether the three retries are repeated after a full new authentication.</t>
  </si>
  <si>
    <t xml:space="preserve">the end state is observable: no active session, no more writes, the key not used.</t>
  </si>
  <si>
    <t xml:space="preserve">the SRS says partially established session data must be invalidated (MVC-108149). Check that the SSK from the failed attempt is erased, with Lauterbach reading the key buffer.</t>
  </si>
  <si>
    <t xml:space="preserve">NONE.</t>
  </si>
  <si>
    <t xml:space="preserve">MVC-106581. SRS MVC-108149, 108158.</t>
  </si>
  <si>
    <t xml:space="preserve">SIM: never acknowledges the key block
Saleae: after the last retry, wait 60 s            -&gt; expect: no more key writes
Lauterbach: session state = INACTIVE; read key buffer -&gt; expect: zeroed
SIM sends tagged frames                             -&gt; expect: rejected
trigger a new attempt (reset)                       -&gt; expect: authentication starts again
Decision: OPEN
---</t>
  </si>
  <si>
    <t xml:space="preserve">2.2.1.1.1-1</t>
  </si>
  <si>
    <t xml:space="preserve">MVC-106562. Test: CS-SOW1-001.</t>
  </si>
  <si>
    <t xml:space="preserve">which OTP zone holds it, and who programs it (Mekra factory, Ambarella) and when? The SRS secure-boot requirement mentions OTP "zone 7 [X]" as an open choice. The CV22FS manual describes the power-on-configuration OTP as factory-set and not user-accessible, and I did not find a customer-key zone in the manuals I have.</t>
  </si>
  <si>
    <t xml:space="preserve">the test and the production flow depend on the zone. Proposal: name the zone and add "and shall prevent modification, replacement or deletion" (the technical verification criteria already test immutability, the requirement does not state it; SRS MVC-108142 does).</t>
  </si>
  <si>
    <t xml:space="preserve">OTP is write-once, so the "cannot be overwritten" test destroys a sample. Test samples need a test root key, because Samsung's private key is not available. A production sample can only be checked by comparing a hash if OTP is read-locked.</t>
  </si>
  <si>
    <t xml:space="preserve">the concept says OTP, SRS MVC-108143 says "protected non-volatile storage". Not the same. RSA-2048 public key = 256-byte modulus plus exponent: confirm the free OTP size.</t>
  </si>
  <si>
    <t xml:space="preserve">the technical requirement has the same text as the concept requirement.</t>
  </si>
  <si>
    <t xml:space="preserve">MVC-106562. SRS 23.2.1 (MVC-108143, 108142, 108144). The secure-boot key (SRS 23.4) is a different root: make sure both are tracked.</t>
  </si>
  <si>
    <t xml:space="preserve">Lauterbach: read OTP zone X (if allowed in this lifecycle) -&gt; SHA-256(key) == fingerprint of the Samsung root key
Lauterbach/SW: write to OTP zone X                          -&gt; expect: rejected or locked
power cycle + reset                                          -&gt; read again, expect same value
SIM signs auth data with the matching private key (test build)  -&gt; authentication passes
SIM signs with another key                                   -&gt; authentication fails
Decision: OPEN
---</t>
  </si>
  <si>
    <t xml:space="preserve">2.2.1.1.2-3</t>
  </si>
  <si>
    <t xml:space="preserve">MVC-106566. Test: CS-SOW1-005.</t>
  </si>
  <si>
    <t xml:space="preserve">three retries (4 requests) or three attempts (3 requests)? MVC-106569 says "three authentication attempts". One number is needed. Also the timeout per attempt and the time between attempts.</t>
  </si>
  <si>
    <t xml:space="preserve">a test that counts requests on the bus cannot pass or fail without it. Proposal: "N attempts in total, each with timeout T".</t>
  </si>
  <si>
    <t xml:space="preserve">counting requests with Saleae is easy. Withholding the answer needs the SIM or a way to cut the I2C response. Timing cannot be checked until T exists.</t>
  </si>
  <si>
    <t xml:space="preserve">what is "not received": no ACK, partial answer, timeout, or malformed? A complete but invalid answer is a signature failure (reject at once?). Define.</t>
  </si>
  <si>
    <t xml:space="preserve">the retry rule is split over two requirements (103053 retry, 103051 terminate) that use different words ("up to three retries" and "configured maximum").</t>
  </si>
  <si>
    <t xml:space="preserve">MVC-106566. SRS MVC-108124, 108126.</t>
  </si>
  <si>
    <t xml:space="preserve">SIM: do not answer the authentication read; reset
Saleae: count auth read requests until SOW2 stops   -&gt; expect: N (as decided)
SIM: answer correctly on request 2                  -&gt; expect: authentication continues
Saleae: measure time between requests               -&gt; expect: equals T (once defined)
Decision: OPEN
---</t>
  </si>
  <si>
    <t xml:space="preserve">2.2.1.1.3-7</t>
  </si>
  <si>
    <t xml:space="preserve">MVC-106567. Test: CS-SOW1-016.</t>
  </si>
  <si>
    <t xml:space="preserve">what is the "expected response"? Timeout per try? On each retry, is the same encrypted block sent again, or a new SSK and a new block?</t>
  </si>
  <si>
    <t xml:space="preserve">define response, timeout and what is sent again. Proposal: a new block (re-encrypted) with the same SSK, or a new SSK, but state it.</t>
  </si>
  <si>
    <t xml:space="preserve">counting retries with Saleae, SIM withholding the response. Nothing can be checked until the response is defined (entry 17).</t>
  </si>
  <si>
    <t xml:space="preserve">"three retries" is consistent with 103044 and with the technical requirements.</t>
  </si>
  <si>
    <t xml:space="preserve">MVC-106567. SRS MVC-108149 (timeout or retry limit).</t>
  </si>
  <si>
    <t xml:space="preserve">SIM: accept authentication, do not answer the key block
Saleae: count key block writes     -&gt; expect: 1 + 3 (as decided)
SIM: answer on the 2nd write       -&gt; expect: session established
Decision: OPEN
---</t>
  </si>
  <si>
    <t xml:space="preserve">2.2.1.1.3-9</t>
  </si>
  <si>
    <t xml:space="preserve">MVC-106573. Test: CS-SOW1-018.</t>
  </si>
  <si>
    <t xml:space="preserve">• Session lifetime: what is the expiry time? No requirement defines it.
• "Security failure": which events (one bad CMAC frame? ten? an I2C error?). SRS MVC-108158 says "video authentication failure requiring session recovery", which has no definition either.
• "System reset" and "system restart": what is the difference?</t>
  </si>
  <si>
    <t xml:space="preserve">two of the five triggers cannot be tested without these definitions. This also conflicts with 119710 (reject the frame and continue, SRS MVC-108105): the line between "reject one frame" and "start a new session" is missing. Proposal: define a lifetime, a failure threshold (for example N bad frames within T seconds) and merge reset and restart.</t>
  </si>
  <si>
    <t xml:space="preserve">each trigger can be tested alone, as the verification criteria already say. Old key must be rejected afterwards: the SIM keeps sending frames with the old key.</t>
  </si>
  <si>
    <t xml:space="preserve">renegotiating while the camera streams: what happens to the video during the new authentication? Interruption time is not limited.</t>
  </si>
  <si>
    <t xml:space="preserve">several requirements in one (five triggers). Consider one requirement per trigger group, or keep it and give each trigger its own test (the technical test does this).</t>
  </si>
  <si>
    <t xml:space="preserve">MVC-106573. SRS MVC-108156, 108158, 108151.</t>
  </si>
  <si>
    <t xml:space="preserve">for trigger in [expiry, reset, restart, termination, security failure]:
    establish session; SIM sends frames with SSK_old -&gt; accepted
    fire the trigger
    Saleae: new auth read + new key block     -&gt; expect: yes
    SIM decrypts the new block: SSK_new != SSK_old
    SIM sends frames with SSK_old             -&gt; expect: rejected
Decision: OPEN
---</t>
  </si>
  <si>
    <t xml:space="preserve">2.2.1.1.4-7</t>
  </si>
  <si>
    <t xml:space="preserve">MVC-113727. Test: CS-SOW1-026.</t>
  </si>
  <si>
    <t xml:space="preserve">counter width and wrap (entry 5). Initial LastAcceptedCounter after a new session.</t>
  </si>
  <si>
    <t xml:space="preserve">• Impact: if more than 3 consecutive frames are lost (link problem, brief disturbance, SoC load), every later valid frame has a counter above LastAcceptedCounter + 3 and is rejected. The stream stays dead until a new session. For a safety-relevant camera that is an availability problem.
• Proposal: define a recovery: after N consecutive frames rejected only because of the window, but with valid CMAC, re-synchronise LastAcceptedCounter. Or end the session and renegotiate, and say which.</t>
  </si>
  <si>
    <t xml:space="preserve">the boundaries in the requirement are good and easy to test with the SIM (equal, lower, +1, +2, +3, +4). Wrap-around and the first frame of a session cannot be tested until they are defined.</t>
  </si>
  <si>
    <t xml:space="preserve">• Order of checks: update LastAcceptedCounter only after the CMAC passed. Otherwise a forged frame with a high counter can push the window forward and block genuine frames. State the order.
• No behaviour for the first frame of a session.</t>
  </si>
  <si>
    <t xml:space="preserve">MVC-113727. SRS MVC-108099, 108104, 108102. The recovery behaviour is in no requirement.</t>
  </si>
  <si>
    <t xml:space="preserve">SIM: frames with valid CMAC, counters:  10 accepted
send 10 (dup)         -&gt; reject        send 9 (stale)  -&gt; reject
send 11 -&gt; accept     send 13 -&gt; accept (Last=11, +2 ... within +3)
send 17 (Last+4)      -&gt; reject
send frame, counter forged high (valid format, WRONG tag) -&gt; reject, Lauterbach: LastAcceptedCounter unchanged
skip 5 frames, then valid CMAC frames -&gt; observe: recovery as defined
Decision: OPEN
---</t>
  </si>
  <si>
    <t xml:space="preserve">2.2.1.1.4-5</t>
  </si>
  <si>
    <t xml:space="preserve">MVC-106564. Test: CS-SOW1-022.</t>
  </si>
  <si>
    <t xml:space="preserve">"Reject" is not defined: dropped, replaced by the previous frame, or shown with a flag? This is a camera that drives a display, so a defined reaction matters. Proposal: state the reaction (drop the frame, count it, log it, keep processing the next frames, which SRS MVC-108105 already says) and when repeated failures start a new session (see 103036).</t>
  </si>
  <si>
    <t xml:space="preserve">the observable is the same as 119709. Define it once: dropped frame counter and log event. The VC step "does not cause the same invalid frame to be re-submitted" needs a defined internal buffer to look at.</t>
  </si>
  <si>
    <t xml:space="preserve">no limit on how many bad frames are tolerated before the stream is treated as an attack. A single corrupted frame from EMI on the cable would also fail the CMAC (the link has CRC, but the check here is separate). Question: do random corruption and a forged frame get the same reaction?</t>
  </si>
  <si>
    <t xml:space="preserve">overlaps 119709 (see entry 1). Overlaps SRS MVC-108116.</t>
  </si>
  <si>
    <t xml:space="preserve">MVC-106564 (link both ways). SRS MVC-108116, 108108, 108105. Same upstream as 119709.</t>
  </si>
  <si>
    <t xml:space="preserve">SIM: send 10 good frames, 1 frame with wrong tag, 10 good frames
Wireshark: RTP shows 20 frames, the bad one missing        -&gt; expect: bad frame not forwarded
UART log: 1 "CMAC failed" entry                            -&gt; expect: logged
Lauterbach: read dropped-frame counter                     -&gt; expect: 1
SIM: send 1000 frames, each with a wrong tag                -&gt; expect: defined reaction (new session or stay up) once decided
Decision: OPEN
---</t>
  </si>
  <si>
    <t xml:space="preserve">2.2.1.1.5-1</t>
  </si>
  <si>
    <t xml:space="preserve">MVC-109119 ("protected SOW1 control commands"). Test: CS-SOW1-027.</t>
  </si>
  <si>
    <t xml:space="preserve">which commands are "control commands"? The imager has to be configured over I2C (for example the settings files in SOW1/Imager Settings/) and the authentication itself is I2C traffic. Which I2C writes are allowed before authentication?</t>
  </si>
  <si>
    <t xml:space="preserve">read literally, the requirement forbids the writes needed to start the camera. The technical text says "protected" commands, the SRS too. Proposal: list the protected commands, or list the allowed pre-authentication ones, and use the word "protected" at concept level.</t>
  </si>
  <si>
    <t xml:space="preserve">Saleae can list all writes to the imager address. The pass criterion needs the list from the SIQ.</t>
  </si>
  <si>
    <t xml:space="preserve">the Volvo spec does not mention any protected command channel. See entry 23.</t>
  </si>
  <si>
    <t xml:space="preserve">concept says "SOW1 control commands", technical says "protected SOW1 control commands": two terms.</t>
  </si>
  <si>
    <t xml:space="preserve">MVC-109119. SRS MVC-108169.</t>
  </si>
  <si>
    <t xml:space="preserve">reset; SIM does not complete authentication
trigger a protected command (command source to confirm)
Saleae: list all I2C writes to the imager          -&gt; expect: only the allowed pre-auth writes, no protected command
repeat after authentication failure and before the key block was acknowledged
complete authentication + session; trigger again    -&gt; expect: command sent
Decision: OPEN
---</t>
  </si>
  <si>
    <t xml:space="preserve">2.2.1.1.3-6</t>
  </si>
  <si>
    <t xml:space="preserve">MVC-106571. Test: CS-SOW1-015.</t>
  </si>
  <si>
    <t xml:space="preserve">"any accessible interface" must be a list. Proposal: UART, JTAG (when unlocked), logs, SOME/IP and DTLS diagnostics, memory dumps, I2C, SPI flash.</t>
  </si>
  <si>
    <t xml:space="preserve">a negative test. It needs a list of interfaces and the SSK value (from the SIM) to search for.</t>
  </si>
  <si>
    <t xml:space="preserve">the SRS keeps the key in DRAM (MVC-108164). An authorised debug session (secure debug requirements) lets Lauterbach read DRAM, so the key would be readable through the debug interface. Either the debug unlock must exclude the key region, or this is an accepted exception. Please decide.</t>
  </si>
  <si>
    <t xml:space="preserve">the technical requirement duplicates the text. SRS has related requirements (MVC-108164, 108163, 108154, 108157).</t>
  </si>
  <si>
    <t xml:space="preserve">MVC-106571. SRS MVC-108164, 108163, 108154, 108157. Related to the debug requirements and to DRAM protection (SRS 23.5).</t>
  </si>
  <si>
    <t xml:space="preserve">SIM: get SSK value (decrypt the key block)
JTAG locked: attach with Lauterbach -&gt; expect: denied
search captures for the SSK bytes: I2C (Saleae), Ethernet (Wireshark), UART log -&gt; expect: not found
trigger failures (bad frame, failed session) -&gt; read logs and diagnostic responses -&gt; expect: no key bytes
authorised debug unlocked: Lauterbach read of the key region in DRAM -&gt; record result; expect: blocked, or an accepted exception
Decision: OPEN
---</t>
  </si>
  <si>
    <t xml:space="preserve">2.2.1.1.4-1</t>
  </si>
  <si>
    <t xml:space="preserve">MVC-109120. Test: CS-SOW1-024.</t>
  </si>
  <si>
    <t xml:space="preserve">what does the system do with video that is "not trusted"? Drop it (no image for the driver) or pass it with an "untrusted" flag? This is a camera for the vehicle; both the safety and security teams must agree.</t>
  </si>
  <si>
    <t xml:space="preserve">"not accept as trusted" can be implemented in two very different ways. Define the reaction and who evaluates it (the downstream display side, the vehicle ECU, or SOW2). Cross-check with frames 1 to 17 (entry 1).</t>
  </si>
  <si>
    <t xml:space="preserve">the observable is the outgoing stream (Wireshark on RTP) and a status signal if one exists. If "untrusted" is only an internal flag, there is nothing to check from outside.</t>
  </si>
  <si>
    <t xml:space="preserve">"secure session establishment" has no definition of when it is complete (imager acknowledgement? first good CMAC?). See entry 17.</t>
  </si>
  <si>
    <t xml:space="preserve">MVC-109120. SRS MVC-108138. The reaction is in no requirement.</t>
  </si>
  <si>
    <t xml:space="preserve">reset, SIM does not answer authentication
SIM: send frames (valid CMAC, any key)        -&gt; Wireshark: no trusted video out / flagged as untrusted
reset, authentication OK, key block not acknowledged -&gt; same
terminate session, SIM keeps sending frames of the old session -&gt; rejected
complete authentication + session -&gt; Wireshark: video flows
Decision: OPEN
---</t>
  </si>
  <si>
    <t xml:space="preserve">2.2.1.1.5-4</t>
  </si>
  <si>
    <t xml:space="preserve">MVC-109121. Test: CS-SOW1-030.</t>
  </si>
  <si>
    <t xml:space="preserve">counter width, start value, behaviour at the maximum, and does the imager check it?</t>
  </si>
  <si>
    <t xml:space="preserve">"monotonically" allows equal values. Proposal: "strictly increasing" and no reuse within the session (SRS MVC-108161). The counter restarts with each session because the key changes: say so. State the wrap rule (new session before wrap).</t>
  </si>
  <si>
    <t xml:space="preserve">with Saleae the counter can be read from many commands. The maximum value case needs a test hook to preset the counter.</t>
  </si>
  <si>
    <t xml:space="preserve">replay protection exists only if the imager rejects old counters. If it does not check, the counter protects nothing. Same open point as 113701.</t>
  </si>
  <si>
    <t xml:space="preserve">see 113701.</t>
  </si>
  <si>
    <t xml:space="preserve">MVC-109121. SRS MVC-108159, 108161.</t>
  </si>
  <si>
    <t xml:space="preserve">send 100 protected commands; Saleae: read counter of each -&gt; expect: strictly increasing, no repeats
reset (new session)                                      -&gt; counter restarts as defined
Lauterbach: preset counter near the max; send commands   -&gt; expect: defined behaviour (new session before wrap)
if the imager checks: replay an old command (old counter) -&gt; expect: rejected
Decision: OPEN
---</t>
  </si>
  <si>
    <t xml:space="preserve">2.2.1.1.3-2</t>
  </si>
  <si>
    <t xml:space="preserve">MVC-106568. Test: CS-SOW1-010.</t>
  </si>
  <si>
    <t xml:space="preserve">"new key for every session" is in the verification criteria but not in the requirement text. Add it (SRS MVC-108110 says it).</t>
  </si>
  <si>
    <t xml:space="preserve">the SSK is only visible through the SIM (decrypting the key block). With a real imager it cannot be seen. Randomness cannot be proven by test, only checked for repeats.</t>
  </si>
  <si>
    <t xml:space="preserve">overlaps 103042 (how it is generated) and 103036 (new session needs a new key). Proposal: keep "256-bit, new each session" here and "how" in 103042.</t>
  </si>
  <si>
    <t xml:space="preserve">MVC-106568. SRS MVC-108107, 108110.</t>
  </si>
  <si>
    <t xml:space="preserve">loop 1000 times: reset -&gt; authenticate -&gt; SIM decrypts the key block -&gt; store SSK
check: length = 32 bytes; no two SSKs equal; bit balance roughly 50 percent
SIM fails authentication -&gt; Saleae: no key block is written
Decision: OPEN
---</t>
  </si>
  <si>
    <t xml:space="preserve">2.2.1.1.4-6</t>
  </si>
  <si>
    <t xml:space="preserve">MVC-113726 (extract) and MVC-106575 (verify freshness, ordering and sequence). Tests: CS-SOW1-025, CS-SOW1-023.</t>
  </si>
  <si>
    <t xml:space="preserve">size of the counter (bits), start value, behaviour at wrap-around, and whether the imager resets it at every stream start. (Samsung note.)</t>
  </si>
  <si>
    <t xml:space="preserve">the window rule in 113703 cannot be checked at the wrap without the width. Add width and wrap behaviour.</t>
  </si>
  <si>
    <t xml:space="preserve">the counter is internal. Read it with Lauterbach. Boundary tests need the SIM to send chosen values, in particular near the maximum.</t>
  </si>
  <si>
    <t xml:space="preserve">the counter is only protected by the CMAC if the header line is among the selected rows (start row 0, MVC-106576). If it is not, the counter can be forged freely. State this dependency here.</t>
  </si>
  <si>
    <t xml:space="preserve">"extract and use for freshness" is two things, and the concept requirement is satisfied by two technical requirements, one for each. The "use" part (MVC-106575, freshness, ordering and sequence) overlaps MVC-113727, which belongs to 113703 (entry 6). Proposal: keep only the extraction here, and let 113703 own the validity rule.</t>
  </si>
  <si>
    <t xml:space="preserve">MVC-113726 and MVC-106575 (CS-SOW1-023 has no entry of its own below, it is covered here and in entry 6). SRS MVC-108099.</t>
  </si>
  <si>
    <t xml:space="preserve">SIM: frames with counter 1,2,3,...,N
Lauterbach: read extracted counter after each frame   -&gt; expect: equal to SIM value
SIM: counter = 0xFFFF.. then 0 (width as defined)    -&gt; expect: defined wrap handling
SIM: header missing / short                           -&gt; expect: rejected, log entry
Decision: OPEN
---</t>
  </si>
  <si>
    <t xml:space="preserve">2.2.1.1.4-2</t>
  </si>
  <si>
    <t xml:space="preserve">MVC-106572. Test: CS-SOW1-019.</t>
  </si>
  <si>
    <t xml:space="preserve">where exactly is the footer in the frame (which line, which bytes, byte order) and what is its length when the tag is absent? Defined in the Samsung note (not in the repo).</t>
  </si>
  <si>
    <t xml:space="preserve">without the layout the extraction cannot be implemented or tested. Add the layout reference to the technical requirement.</t>
  </si>
  <si>
    <t xml:space="preserve">extraction is internal. Either read the extracted value with Lauterbach, or infer it from acceptance, which makes it the same test as 119709. Missing or short footers need a defined reaction (the SRS says reject, MVC-108134).</t>
  </si>
  <si>
    <t xml:space="preserve">frame 1 to 17 have no tag (entry 1). The tag is described as 128 bits; whether the footer ever carries more (padding, status bits) is unknown.</t>
  </si>
  <si>
    <t xml:space="preserve">this is an implementation step of 119709, not a security property by itself. Proposal: keep it at technical level, or merge into 119709.</t>
  </si>
  <si>
    <t xml:space="preserve">MVC-106572. SRS 23.2.5.1 (MVC-108140, 108129, 108134, 108132).</t>
  </si>
  <si>
    <t xml:space="preserve">SIM: frame with known tag T = 0x00112233...  in the footer
Lauterbach: read the extracted-tag buffer          -&gt; expect T
repeat with 10 different tags                      -&gt; expect each equal (not hard-coded)
SIM: frame without footer / short footer / garbage -&gt; expect: rejected, no crash, log entry
Decision: OPEN
---</t>
  </si>
  <si>
    <t xml:space="preserve">2.2.1.1.3-4</t>
  </si>
  <si>
    <t xml:space="preserve">MVC-106580, 106576, 108741, 106574. Tests: CS-SOW1-013, 007, 008, 009.</t>
  </si>
  <si>
    <t xml:space="preserve">message layout (SSK, Row_info_00, Row_info_01, sizes, order), OAEP label (empty?) and MGF1 hash. The Samsung note is not in the repo.</t>
  </si>
  <si>
    <t xml:space="preserve">the layout is needed by implementation and test. Proposal: put the layout in the technical requirement.</t>
  </si>
  <si>
    <t xml:space="preserve">OAEP is randomised, so two encryptions of the same input differ. Compare plaintexts only: the SIM decrypts and checks the content. Injecting a known SSK needs a test hook (Lauterbach write before the encrypt call).</t>
  </si>
  <si>
    <t xml:space="preserve">capacity check: RSA-2048 with OAEP and SHA-256 carries at most 256 − 2×32 − 2 = 190 bytes, so a 32-byte key plus the row information fits if the row information is small. The row rules in the technical requirements (start 0 or 1, interval at least 10 or 30 by output mode, and the formula start + 1 + (interval + 1) × (total − 1) ≤ ysize_image + ysize_embedded_data) depend on the output mode, so the mode must be known to the code that builds Row_info.</t>
  </si>
  <si>
    <t xml:space="preserve">one concept requirement is satisfied by four technical requirements, three of which are about row selection and not about encryption. Proposal: a separate concept requirement for the row selection rules.</t>
  </si>
  <si>
    <t xml:space="preserve">MVC-106580, 106576, 108741, 106574. SRS MVC-108153, 108145, 108165, 108166.</t>
  </si>
  <si>
    <t xml:space="preserve">SIM (holds device private key): read the key block from I2C (Saleae / TE-1190)
PyRef: RSA-OAEP decrypt, SHA-256, MGF1-SHA-256  -&gt; expect plaintext = SSK(32 B) || Row_info_00 || Row_info_01
Lauterbach: read the Row_info SOW2 used          -&gt; expect: equal to the decrypted Row_info
decrypt with another private key                 -&gt; expect: fails
Saleae: search the bus capture for the SSK bytes -&gt; expect: not found in plaintext
Row rules (one run each): start 2 / interval 9 in RAW12 / total too large (formula +1 row) -&gt; expect: configuration refused
Decision: OPEN
---</t>
  </si>
  <si>
    <t xml:space="preserve">2.2.1.1.4-3</t>
  </si>
  <si>
    <t xml:space="preserve">MVC-106583. Test: CS-SOW1-020.</t>
  </si>
  <si>
    <t xml:space="preserve">exactly which bytes form the message: only the pixel and embedded data of the selected rows, or also the line headers/footers and CSI-2 packet bytes? Row numbering base? (Samsung note.)</t>
  </si>
  <si>
    <t xml:space="preserve">two implementations could calculate different tags for the same frame. Add the exact message construction and a test vector from Samsung.</t>
  </si>
  <si>
    <t xml:space="preserve">a reference calculation (PyRef) works only if the tester knows the SSK and the exact input. With the SIM it is possible. A known-answer test vector from Samsung would make it independent of the SIM.</t>
  </si>
  <si>
    <t xml:space="preserve">AES-CMAC with a 256-bit key is standard (NIST SP 800-38B, AES-256). The requirement says "128-bit tag": full output, not truncated, should be stated. The interval rule in MVC-108741 (at least 10 or 30 rows) exists so the imager finishes one row before the next. The host side has no stated rule on how fast it must compute.</t>
  </si>
  <si>
    <t xml:space="preserve">it also says "selected rows", which are defined in four other requirements (103055 note, 106576, 108741, 106574). Better to give the row selection its own concept requirement and reference it here.</t>
  </si>
  <si>
    <t xml:space="preserve">MVC-106583. SRS MVC-108122, 108121, 108118.</t>
  </si>
  <si>
    <t xml:space="preserve">TE-1190: capture a real frame (raw rows)
PyRef:   tag_ref = AES256-CMAC(SSK, selected rows as defined)
SIM:     send the frame with tag_ref  -&gt; expect: accepted
modify 1 byte in a selected row, keep tag_ref -&gt; expect: rejected
modify 1 byte in a NOT selected row, keep tag_ref -&gt; expect: accepted (shows the coverage limit, record it)
Decision: OPEN
---</t>
  </si>
  <si>
    <t xml:space="preserve">2.2.1.1.5-2</t>
  </si>
  <si>
    <t xml:space="preserve">MVC-108740. Test: CS-SOW1-028.</t>
  </si>
  <si>
    <t xml:space="preserve">does the imager verify a command tag at all? The Volvo spec section 11 does not describe it. SRS MVC-108160 adds the tag "only when protected control command verification is supported by SOW1". What are the command format and the CMAC input?</t>
  </si>
  <si>
    <t xml:space="preserve">if the imager does not check it, the tag adds nothing. Proposal: confirm support first. If supported, put the exact input in the requirement (command, counter, order). The SRS says the counter is included before the tag is calculated (MVC-108159), so the counter is covered. The concept does not say it.</t>
  </si>
  <si>
    <t xml:space="preserve">the tag can be checked with PyRef from a captured command and the SSK. Whether the imager accepts or rejects a command with a wrong tag cannot be tested if the imager does not check.</t>
  </si>
  <si>
    <t xml:space="preserve">the concept says "each command", the SRS says "protected command only when supported". Conflict.</t>
  </si>
  <si>
    <t xml:space="preserve">113701 (calculate), 119707 (append), 113702 (counter) are three steps of one function. Proposal: one requirement for the protected command format: command + counter + CMAC.</t>
  </si>
  <si>
    <t xml:space="preserve">MVC-108740. SRS MVC-108160, 108159.</t>
  </si>
  <si>
    <t xml:space="preserve">trigger a protected command (to confirm)
Saleae: capture the I2C write to the imager   -&gt; parse: cmd | counter | tag
SIM: get SSK; PyRef: AES256-CMAC(SSK, cmd||counter)  -&gt; expect: equals the tag on the bus
change one command byte, recompute with the same key -&gt; tag differs
if the imager checks: send a command with a wrong tag -&gt; expect: imager rejects it
Decision: OPEN
---</t>
  </si>
  <si>
    <t xml:space="preserve">2.2.1.1.2-1</t>
  </si>
  <si>
    <t xml:space="preserve">MVC-106561, 106565, 106563. Tests: CS-SOW1-002, 003, 004.</t>
  </si>
  <si>
    <t xml:space="preserve">• SIQ-1 (Samsung): define Device_n, KID, Sig_device. The Volvo spec says the signature covers "the device specific RSA public key along with the Device ID". The technical requirement says "over Device_n and KID". Is Device_n the key modulus and KID the Device ID? And is KID a key or algorithm identifier? The SRS (MVC-108135, 108136) lets KID select the signature scheme and hash.</t>
  </si>
  <si>
    <t xml:space="preserve">if the signed message is not defined byte for byte, SOW2 and the test cannot agree. Add the exact signed message and encoding to the technical requirement.</t>
  </si>
  <si>
    <t xml:space="preserve">needs signed data from the test root key. Negative cases (one field changed, other key) need the SIM.</t>
  </si>
  <si>
    <t xml:space="preserve">• The signature in the imager is a fixed value, stored in OTP and read over I2C. I found no challenge-response in the Volvo flow. A fake camera can copy the genuine data (it is not secret) and pass step 2. What stops it is that it does not hold the private key, so it cannot decrypt the session key and cannot produce a valid CMAC. Until the first valid tagged frame (frame 18 or later) SOW2 has no proof that the camera owns the key. Please confirm this is understood and accepted.
• The concept fixes the scheme (107641), while the SRS makes KID select the scheme. See entry 10.</t>
  </si>
  <si>
    <t xml:space="preserve">the concept requirement is verified by three technical requirements (request, verify, scheme). That is fine, but the pass criteria overlap. Keep each test about one thing.</t>
  </si>
  <si>
    <t xml:space="preserve">concept to technical: three links. SRS 23.2.2 and 23.2.3 (MVC-108133, 108131, 108126, 108124, 108113, 108111).</t>
  </si>
  <si>
    <t xml:space="preserve">SIM: serve genuine data (Device_n, KID, Sig_device signed by test root)
Saleae: capture auth read           -&gt; expect: SOW2 asks for the fields; then accepts; key block follows
SIM: flip 1 bit in Device_n / KID / Sig_device (one run each) -&gt; expect: rejected, no key block sent
SIM: signature from another key     -&gt; expect: rejected
SIM: copy genuine data, no private key (replay) -&gt; expect: auth accepted, but no valid CMAC frame ever -&gt; frames rejected
Decision: OPEN
---</t>
  </si>
  <si>
    <t xml:space="preserve">2.2.1.1.5-3</t>
  </si>
  <si>
    <t xml:space="preserve">MVC-106570. Test: CS-SOW1-029.</t>
  </si>
  <si>
    <t xml:space="preserve">the field order and size inside the I2C write. The Volvo spec sets I2C CRC ON for the C1-sample: where does the CRC go relative to the tag?</t>
  </si>
  <si>
    <t xml:space="preserve">define the frame layout. Proposal: put it in the technical requirement with an example.</t>
  </si>
  <si>
    <t xml:space="preserve">easy with Saleae once the layout is defined.</t>
  </si>
  <si>
    <t xml:space="preserve">if CMAC generation fails, the command must not be sent (SRS MVC-108160). The concept does not say it. Add it.</t>
  </si>
  <si>
    <t xml:space="preserve">see 113701. The concept verification text says only "transmitted command contains the original command data"; the technical text checks field order and encoding.</t>
  </si>
  <si>
    <t xml:space="preserve">MVC-106570. SRS MVC-108160.</t>
  </si>
  <si>
    <t xml:space="preserve">Saleae: capture a protected command write   -&gt; expect: [cmd][counter][16-byte tag] in the defined order
Lauterbach: force CMAC calculation to fail  -&gt; expect: no command is transmitted
repeat for 3 different commands
Decision: OPEN
---</t>
  </si>
  <si>
    <t xml:space="preserve">2.2.1.1.3-1</t>
  </si>
  <si>
    <t xml:space="preserve">MVC-106577. Test: CS-SOW1-012.</t>
  </si>
  <si>
    <t xml:space="preserve">format of the key in the data (modulus only, fixed exponent?).</t>
  </si>
  <si>
    <t xml:space="preserve">add sanity checks (length 2048 bits, odd modulus, exponent as defined) before the key is used.</t>
  </si>
  <si>
    <t xml:space="preserve">the extracted key is internal. Indirect check: SOW2 encrypts with it, and the SIM decrypts with its private key. If decryption works, the right key was used. Wrong-size or malformed keys signed with the test root key are easy to create.</t>
  </si>
  <si>
    <t xml:space="preserve">the key is covered by the signature only if Device_n is the key modulus (SIQ in entry 9). If it is not covered, a key swap is possible.</t>
  </si>
  <si>
    <t xml:space="preserve">MVC-106577. SRS 23.2.4.4 (MVC-108153) uses "the authenticated SOW1 Device public key".</t>
  </si>
  <si>
    <t xml:space="preserve">SIM: device key K1, signed by test root; authentication OK
SIM: decrypt the key block that SOW2 writes with K1_priv  -&gt; expect: success (proves K1 was used)
SIM: key of 1024 or 4096 bits, valid signature             -&gt; expect: rejected, no key block sent
SIM: truncated or all-zero key, valid signature            -&gt; expect: rejected
Lauterbach (optional): compare the key buffer with K1
Decision: OPEN
---</t>
  </si>
  <si>
    <t xml:space="preserve">Where</t>
  </si>
  <si>
    <t xml:space="preserve">Why it matters</t>
  </si>
  <si>
    <t xml:space="preserve">1</t>
  </si>
  <si>
    <t xml:space="preserve">Frames 1 to 17 have no tag</t>
  </si>
  <si>
    <t xml:space="preserve">119709, 119708, 103033</t>
  </si>
  <si>
    <t xml:space="preserve">Pass/fail is undefined and the text contradicts the Volvo spec</t>
  </si>
  <si>
    <t xml:space="preserve">2</t>
  </si>
  <si>
    <t xml:space="preserve">Retry versus attempt count</t>
  </si>
  <si>
    <t xml:space="preserve">103053, 103051</t>
  </si>
  <si>
    <t xml:space="preserve">Cannot count I2C requests without one number</t>
  </si>
  <si>
    <t xml:space="preserve">3</t>
  </si>
  <si>
    <t xml:space="preserve">Reaction to a failure (video off? safe state?)</t>
  </si>
  <si>
    <t xml:space="preserve">119710, 119708, 103051, 103044</t>
  </si>
  <si>
    <t xml:space="preserve">A cybersecurity failure can switch off a camera image</t>
  </si>
  <si>
    <t xml:space="preserve">4</t>
  </si>
  <si>
    <t xml:space="preserve">Freshness window can dead-lock the stream</t>
  </si>
  <si>
    <t xml:space="preserve">113703</t>
  </si>
  <si>
    <t xml:space="preserve">More than 3 lost frames blocks all later valid frames</t>
  </si>
  <si>
    <t xml:space="preserve">5</t>
  </si>
  <si>
    <t xml:space="preserve">Static signature, no challenge</t>
  </si>
  <si>
    <t xml:space="preserve">107642</t>
  </si>
  <si>
    <t xml:space="preserve">A copied authentication record passes step 2. Only the CMAC proves the private key, from frame 18 on</t>
  </si>
  <si>
    <t xml:space="preserve">6</t>
  </si>
  <si>
    <t xml:space="preserve">Session lifetime and "security failure" are undefined</t>
  </si>
  <si>
    <t xml:space="preserve">103036</t>
  </si>
  <si>
    <t xml:space="preserve">Two of five triggers are untestable</t>
  </si>
  <si>
    <t xml:space="preserve">7</t>
  </si>
  <si>
    <t xml:space="preserve">Do protected commands exist?</t>
  </si>
  <si>
    <t xml:space="preserve">119714, 113701, 119707, 113702</t>
  </si>
  <si>
    <t xml:space="preserve">The Volvo spec has none. The imager may not check them</t>
  </si>
  <si>
    <t xml:space="preserve">8</t>
  </si>
  <si>
    <t xml:space="preserve">Authorised debug can read the session key from DRAM</t>
  </si>
  <si>
    <t xml:space="preserve">113706</t>
  </si>
  <si>
    <t xml:space="preserve">Conflicts with the "no exposure" requirement</t>
  </si>
  <si>
    <t xml:space="preserve">9</t>
  </si>
  <si>
    <t xml:space="preserve">Samsung documents and a test root key</t>
  </si>
  <si>
    <t xml:space="preserve">all</t>
  </si>
  <si>
    <t xml:space="preserve">Without them the message layouts and the valid signatures cannot be produced</t>
  </si>
  <si>
    <t xml:space="preserve">Summary of review comments: SOW1 - SOW2 interface (concept and technical requirements)</t>
  </si>
  <si>
    <t xml:space="preserve">'-' in the Review sheet means no comment. 'SWE:' marks a point that is not in the concept or technical (system) requirements and belongs to the software requirements (SRS).</t>
  </si>
  <si>
    <t xml:space="preserve">Count (formulas over the Review sheet)</t>
  </si>
  <si>
    <t xml:space="preserve">Concept (rows 2-26)</t>
  </si>
  <si>
    <t xml:space="preserve">Technical (rows 28-57)</t>
  </si>
  <si>
    <t xml:space="preserve">Total</t>
  </si>
  <si>
    <t xml:space="preserve">Requirements reviewed</t>
  </si>
  <si>
    <t xml:space="preserve">With a SIQ (open question)</t>
  </si>
  <si>
    <t xml:space="preserve">With an Impact and proposal comment</t>
  </si>
  <si>
    <t xml:space="preserve">With a Testability comment</t>
  </si>
  <si>
    <t xml:space="preserve">With a Technical comment</t>
  </si>
  <si>
    <t xml:space="preserve">With a Structure comment</t>
  </si>
  <si>
    <t xml:space="preserve">With a Traceability comment</t>
  </si>
  <si>
    <t xml:space="preserve">Comments marked SWE scope</t>
  </si>
  <si>
    <t xml:space="preserve">Decisions still OPEN</t>
  </si>
  <si>
    <t xml:space="preserve">Summary of all comments by theme</t>
  </si>
  <si>
    <t xml:space="preserve">Theme</t>
  </si>
  <si>
    <t xml:space="preserve">Requirements</t>
  </si>
  <si>
    <t xml:space="preserve">What the comments say</t>
  </si>
  <si>
    <t xml:space="preserve">Scope</t>
  </si>
  <si>
    <t xml:space="preserve">1. Frames 1-17 have no tag</t>
  </si>
  <si>
    <t xml:space="preserve">119709, 113705, 119708 (TCR 106582, 106572, 109120)</t>
  </si>
  <si>
    <t xml:space="preserve">The imager sends no CMAC for the first 17 frames, but the requirements say "each frame". Define how those frames are treated.</t>
  </si>
  <si>
    <t xml:space="preserve">Concept / system</t>
  </si>
  <si>
    <t xml:space="preserve">2. Reaction to a failure is undefined</t>
  </si>
  <si>
    <t xml:space="preserve">119710, 119708, 103051, 103044 (TCR 106564, 109120, 106569, 106581)</t>
  </si>
  <si>
    <t xml:space="preserve">Reject, untrusted and terminate do not say what the ECU does with the video. A failure can switch off the camera image. Needs a safety decision.</t>
  </si>
  <si>
    <t xml:space="preserve">3. Retry counts and timeouts</t>
  </si>
  <si>
    <t xml:space="preserve">103053, 103051, 103046, 103044 (TCR 106566, 106569, 106567, 106581)</t>
  </si>
  <si>
    <t xml:space="preserve">"Three retries" (4 requests) and "three attempts" (3 requests) differ. Concept says "configured maximum", TCR says a fixed three. Timeouts and "expected response" are missing.</t>
  </si>
  <si>
    <t xml:space="preserve">4. Session definition</t>
  </si>
  <si>
    <t xml:space="preserve">103034, 103036, 103046 (TCR 106578, 106573, 106567)</t>
  </si>
  <si>
    <t xml:space="preserve">No requirement says when a session is established, how long it lives, or what a "security failure" is. Two of five new-session triggers cannot be tested.</t>
  </si>
  <si>
    <t xml:space="preserve">5. Freshness and counters</t>
  </si>
  <si>
    <t xml:space="preserve">113703, 103031, 113702 (TCR 113727, 106575, 113726, 109121)</t>
  </si>
  <si>
    <t xml:space="preserve">The 3-frame window freezes the video after more than 3 lost frames. Counter width, wrap, start value and the rollover and initialization policies are not defined. 106575 overlaps 113727.</t>
  </si>
  <si>
    <t xml:space="preserve">Concept / system, plus SWE for the check order</t>
  </si>
  <si>
    <t xml:space="preserve">6. Authentication is a static signature</t>
  </si>
  <si>
    <t xml:space="preserve">107642, 107641, 103040 (TCR 106565, 106563, 106577)</t>
  </si>
  <si>
    <t xml:space="preserve">A copied authentication record passes the signature check. Only the CMAC from frame 18 proves the private key. The signed message and the KID meaning must be defined.</t>
  </si>
  <si>
    <t xml:space="preserve">7. Layouts and crypto parameters</t>
  </si>
  <si>
    <t xml:space="preserve">107641, 113705, 103055, 103033, 119707 (TCR 106563, 106572, 106578, 106580, 106583, 106570)</t>
  </si>
  <si>
    <t xml:space="preserve">PSS salt and MGF, OAEP label, footer layout, message layout, CMAC input bytes and command field order are not stated. They come from the Samsung note (not in the repo).</t>
  </si>
  <si>
    <t xml:space="preserve">SWE scope</t>
  </si>
  <si>
    <t xml:space="preserve">8. Protected commands unclear</t>
  </si>
  <si>
    <t xml:space="preserve">119714, 113701, 119707, 113702 (TCR 109119, 108740, 106570, 109121)</t>
  </si>
  <si>
    <t xml:space="preserve">The Volvo spec has no protected command channel, and the imager may not check the tag or counter. Command list and format are missing. "Control" and "protected" are used for the same thing.</t>
  </si>
  <si>
    <t xml:space="preserve">9. Key handling</t>
  </si>
  <si>
    <t xml:space="preserve">103063, 103057, 103042, 113706 (TCR 106562, 106568, 106560, 106571)</t>
  </si>
  <si>
    <t xml:space="preserve">OTP location and "no modification" are missing. New key per session and no TRNG fallback are only in the criteria. The SSK in DRAM is readable through authorised debug. TRNG conformity is a Review item.</t>
  </si>
  <si>
    <t xml:space="preserve">Concept / system, plus SWE for reseed and erase</t>
  </si>
  <si>
    <t xml:space="preserve">10. Structure: duplicates and merges</t>
  </si>
  <si>
    <t xml:space="preserve">119709/119710, 103057/103042/103036, 113701/119707/113702</t>
  </si>
  <si>
    <t xml:space="preserve">Several requirements are halves of one function. 15 of 30 TCRs have exactly the same text as their concept requirement and add the "how" only in the criteria.</t>
  </si>
  <si>
    <t xml:space="preserve">11. Traceability gaps</t>
  </si>
  <si>
    <t xml:space="preserve">119709, 107641, 113703, all</t>
  </si>
  <si>
    <t xml:space="preserve">Upstream links are generic (26 TCRs link to the same four items). MVC-106563 has no link to 107641. The recovery rule and the 17-frame rule are in no requirement. SRS links are missing.</t>
  </si>
  <si>
    <t xml:space="preserve">12. TCR criteria use undefined policies</t>
  </si>
  <si>
    <t xml:space="preserve">TCR 106561, 106575, 106576, 106578, 106580, 106583, 109121</t>
  </si>
  <si>
    <t xml:space="preserve">The criteria refer to rules that no document defines: retry behaviour, counter-validation, configuration validation, message layout, interface specification, input encoding, rollover and initialization.</t>
  </si>
  <si>
    <t xml:space="preserve">13. Row-information rules are under the wrong requirement</t>
  </si>
  <si>
    <t xml:space="preserve">103055 (TCR 106574, 106576, 108741)</t>
  </si>
  <si>
    <t xml:space="preserve">Row start, interval and range rules sit under the encryption requirement. Give row selection its own concept requirement.</t>
  </si>
  <si>
    <t xml:space="preserve">14. TCR inconsistencies</t>
  </si>
  <si>
    <t xml:space="preserve">TCR 106562, 106569, 106563, 109119</t>
  </si>
  <si>
    <t xml:space="preserve">106562 criteria mention Secure Boot, 106569 fixes three attempts, 106563 has a typo and a missing step, 109119 uses another subject.</t>
  </si>
  <si>
    <t xml:space="preserve">15. Test needs</t>
  </si>
  <si>
    <t xml:space="preserve">Tests need a SOW1 simulator, a test root key, the Samsung documents, and a list of protected commands and interfaces.</t>
  </si>
  <si>
    <t xml:space="preserve">Test setup</t>
  </si>
  <si>
    <t xml:space="preserve">Points in SWE scope (not in the concept or technical system requirements)</t>
  </si>
  <si>
    <t xml:space="preserve">Requirement</t>
  </si>
  <si>
    <t xml:space="preserve">Point</t>
  </si>
  <si>
    <t xml:space="preserve">SRS reference</t>
  </si>
  <si>
    <t xml:space="preserve">Level</t>
  </si>
  <si>
    <t xml:space="preserve">PSS salt length, MGF and public exponent</t>
  </si>
  <si>
    <t xml:space="preserve">SRS 108120, 108135</t>
  </si>
  <si>
    <t xml:space="preserve">Concept</t>
  </si>
  <si>
    <t xml:space="preserve">Reseed rule for the CSPRNG</t>
  </si>
  <si>
    <t xml:space="preserve">SRS 108106</t>
  </si>
  <si>
    <t xml:space="preserve">Handling of partial I2C writes of the key block</t>
  </si>
  <si>
    <t xml:space="preserve">SRS 108146</t>
  </si>
  <si>
    <t xml:space="preserve">Erase the SSK of a failed attempt</t>
  </si>
  <si>
    <t xml:space="preserve">SRS 108149</t>
  </si>
  <si>
    <t xml:space="preserve">Update LastAcceptedCounter only after the CMAC passes</t>
  </si>
  <si>
    <t xml:space="preserve">SRS 108104</t>
  </si>
  <si>
    <t xml:space="preserve">Limit for repeated bad frames</t>
  </si>
  <si>
    <t xml:space="preserve">SRS 108105</t>
  </si>
  <si>
    <t xml:space="preserve">Missing or short footer, frames without a tag</t>
  </si>
  <si>
    <t xml:space="preserve">SRS 108134</t>
  </si>
  <si>
    <t xml:space="preserve">Full 128-bit tag, host computation speed</t>
  </si>
  <si>
    <t xml:space="preserve">SRS 108122</t>
  </si>
  <si>
    <t xml:space="preserve">No command is sent if CMAC generation fails</t>
  </si>
  <si>
    <t xml:space="preserve">SRS 108160</t>
  </si>
  <si>
    <t xml:space="preserve">SRS 108120</t>
  </si>
  <si>
    <t xml:space="preserve">TCR</t>
  </si>
  <si>
    <t xml:space="preserve">Reseed rule and "approved seeding mechanism"</t>
  </si>
  <si>
    <t xml:space="preserve">Counter update only after authentication (in criteria, not in text)</t>
  </si>
  <si>
    <t xml:space="preserve">Real configured sizes, no integer overflow or truncation</t>
  </si>
  <si>
    <t xml:space="preserve">SRS 23.2.4.2 (row selection)</t>
  </si>
  <si>
    <t xml:space="preserve">Full 128-bit tag, no truncation</t>
  </si>
  <si>
    <t xml:space="preserve">No command sent as protected if CMAC fails</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</si>
</sst>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9"/>
      <name val="Arial"/>
      <family val="0"/>
      <charset val="1"/>
    </font>
    <font>
      <b val="true"/>
      <sz val="9"/>
      <name val="Arial"/>
      <family val="0"/>
      <charset val="1"/>
    </font>
    <font>
      <b val="true"/>
      <sz val="10"/>
      <color rgb="FF1F3864"/>
      <name val="Arial"/>
      <family val="0"/>
      <charset val="1"/>
    </font>
    <font>
      <b val="true"/>
      <sz val="14"/>
      <color rgb="FF1F3864"/>
      <name val="Arial"/>
      <family val="0"/>
      <charset val="1"/>
    </font>
    <font>
      <i val="true"/>
      <sz val="9"/>
      <name val="Arial"/>
      <family val="0"/>
      <charset val="1"/>
    </font>
    <font>
      <sz val="10"/>
      <name val="Arial"/>
      <family val="0"/>
      <charset val="1"/>
    </font>
    <font>
      <b val="true"/>
      <sz val="12"/>
      <color rgb="FF1F3864"/>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D9E2F3"/>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center" textRotation="0" wrapText="false" indent="0" shrinkToFit="false"/>
      <protection locked="true" hidden="false"/>
    </xf>
    <xf numFmtId="164" fontId="4" fillId="2" borderId="1" xfId="0" applyFont="true" applyBorder="tru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fgColor rgb="FFD9E2F3"/>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13"/>
    <col collapsed="false" customWidth="true" hidden="false" outlineLevel="0" max="3" min="3" style="1" width="20"/>
    <col collapsed="false" customWidth="true" hidden="false" outlineLevel="0" max="4" min="4" style="1" width="36"/>
    <col collapsed="false" customWidth="true" hidden="false" outlineLevel="0" max="5" min="5" style="1" width="34"/>
    <col collapsed="false" customWidth="true" hidden="false" outlineLevel="0" max="6" min="6" style="1" width="38"/>
    <col collapsed="false" customWidth="true" hidden="false" outlineLevel="0" max="8" min="7" style="1" width="36"/>
    <col collapsed="false" customWidth="true" hidden="false" outlineLevel="0" max="10" min="9" style="1" width="32"/>
    <col collapsed="false" customWidth="true" hidden="false" outlineLevel="0" max="11" min="11" style="1" width="38"/>
    <col collapsed="false" customWidth="true" hidden="false" outlineLevel="0" max="12" min="12" style="1" width="12"/>
    <col collapsed="false" customWidth="true" hidden="false" outlineLevel="0" max="13" min="13" style="1" width="22"/>
    <col collapsed="false" customWidth="true" hidden="false" outlineLevel="0" max="14" min="14" style="1" width="11"/>
  </cols>
  <sheetData>
    <row r="1" customFormat="false" ht="30"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row>
    <row r="2" customFormat="false" ht="67.5" hidden="false" customHeight="true" outlineLevel="0" collapsed="false">
      <c r="A2" s="3" t="n">
        <v>1</v>
      </c>
      <c r="B2" s="4" t="s">
        <v>14</v>
      </c>
      <c r="C2" s="3" t="s">
        <v>15</v>
      </c>
      <c r="D2" s="3" t="s">
        <v>16</v>
      </c>
      <c r="E2" s="3" t="s">
        <v>17</v>
      </c>
      <c r="F2" s="3" t="s">
        <v>18</v>
      </c>
      <c r="G2" s="3" t="s">
        <v>19</v>
      </c>
      <c r="H2" s="3" t="s">
        <v>20</v>
      </c>
      <c r="I2" s="3" t="s">
        <v>21</v>
      </c>
      <c r="J2" s="3" t="s">
        <v>22</v>
      </c>
      <c r="K2" s="3" t="s">
        <v>23</v>
      </c>
      <c r="L2" s="3" t="s">
        <v>24</v>
      </c>
      <c r="M2" s="3"/>
      <c r="N2" s="3"/>
    </row>
    <row r="3" customFormat="false" ht="55.5" hidden="false" customHeight="true" outlineLevel="0" collapsed="false">
      <c r="A3" s="3" t="n">
        <v>2</v>
      </c>
      <c r="B3" s="4" t="s">
        <v>25</v>
      </c>
      <c r="C3" s="3" t="s">
        <v>26</v>
      </c>
      <c r="D3" s="3" t="s">
        <v>27</v>
      </c>
      <c r="E3" s="3" t="s">
        <v>28</v>
      </c>
      <c r="F3" s="3" t="s">
        <v>29</v>
      </c>
      <c r="G3" s="3" t="s">
        <v>30</v>
      </c>
      <c r="H3" s="3" t="s">
        <v>31</v>
      </c>
      <c r="I3" s="3" t="s">
        <v>32</v>
      </c>
      <c r="J3" s="3" t="s">
        <v>33</v>
      </c>
      <c r="K3" s="3" t="s">
        <v>34</v>
      </c>
      <c r="L3" s="3" t="s">
        <v>24</v>
      </c>
      <c r="M3" s="3"/>
      <c r="N3" s="3"/>
    </row>
    <row r="4" customFormat="false" ht="55.5" hidden="false" customHeight="true" outlineLevel="0" collapsed="false">
      <c r="A4" s="3" t="n">
        <v>3</v>
      </c>
      <c r="B4" s="4" t="s">
        <v>35</v>
      </c>
      <c r="C4" s="3" t="s">
        <v>36</v>
      </c>
      <c r="D4" s="3" t="s">
        <v>37</v>
      </c>
      <c r="E4" s="3" t="s">
        <v>38</v>
      </c>
      <c r="F4" s="3" t="s">
        <v>39</v>
      </c>
      <c r="G4" s="3" t="s">
        <v>40</v>
      </c>
      <c r="H4" s="3" t="s">
        <v>41</v>
      </c>
      <c r="I4" s="3" t="s">
        <v>42</v>
      </c>
      <c r="J4" s="3" t="s">
        <v>43</v>
      </c>
      <c r="K4" s="3" t="s">
        <v>44</v>
      </c>
      <c r="L4" s="3" t="s">
        <v>24</v>
      </c>
      <c r="M4" s="3"/>
      <c r="N4" s="3"/>
    </row>
    <row r="5" customFormat="false" ht="55.5" hidden="false" customHeight="true" outlineLevel="0" collapsed="false">
      <c r="A5" s="3" t="n">
        <v>4</v>
      </c>
      <c r="B5" s="4" t="s">
        <v>45</v>
      </c>
      <c r="C5" s="3" t="s">
        <v>46</v>
      </c>
      <c r="D5" s="3" t="s">
        <v>47</v>
      </c>
      <c r="E5" s="3" t="s">
        <v>48</v>
      </c>
      <c r="F5" s="3" t="s">
        <v>49</v>
      </c>
      <c r="G5" s="3" t="s">
        <v>50</v>
      </c>
      <c r="H5" s="3" t="s">
        <v>51</v>
      </c>
      <c r="I5" s="3" t="s">
        <v>52</v>
      </c>
      <c r="J5" s="3" t="s">
        <v>53</v>
      </c>
      <c r="K5" s="3" t="s">
        <v>54</v>
      </c>
      <c r="L5" s="3" t="s">
        <v>24</v>
      </c>
      <c r="M5" s="3"/>
      <c r="N5" s="3"/>
    </row>
    <row r="6" customFormat="false" ht="67.5" hidden="false" customHeight="true" outlineLevel="0" collapsed="false">
      <c r="A6" s="3" t="n">
        <v>5</v>
      </c>
      <c r="B6" s="4" t="s">
        <v>55</v>
      </c>
      <c r="C6" s="3" t="s">
        <v>56</v>
      </c>
      <c r="D6" s="3" t="s">
        <v>57</v>
      </c>
      <c r="E6" s="3" t="s">
        <v>58</v>
      </c>
      <c r="F6" s="3" t="s">
        <v>59</v>
      </c>
      <c r="G6" s="3" t="s">
        <v>60</v>
      </c>
      <c r="H6" s="3" t="s">
        <v>61</v>
      </c>
      <c r="I6" s="3" t="s">
        <v>62</v>
      </c>
      <c r="J6" s="3" t="s">
        <v>63</v>
      </c>
      <c r="K6" s="3" t="s">
        <v>64</v>
      </c>
      <c r="L6" s="3" t="s">
        <v>24</v>
      </c>
      <c r="M6" s="3"/>
      <c r="N6" s="3"/>
    </row>
    <row r="7" customFormat="false" ht="55.5" hidden="false" customHeight="true" outlineLevel="0" collapsed="false">
      <c r="A7" s="3" t="n">
        <v>6</v>
      </c>
      <c r="B7" s="4" t="s">
        <v>65</v>
      </c>
      <c r="C7" s="3" t="s">
        <v>66</v>
      </c>
      <c r="D7" s="3" t="s">
        <v>67</v>
      </c>
      <c r="E7" s="3" t="s">
        <v>68</v>
      </c>
      <c r="F7" s="3" t="s">
        <v>69</v>
      </c>
      <c r="G7" s="3" t="s">
        <v>70</v>
      </c>
      <c r="H7" s="3" t="s">
        <v>71</v>
      </c>
      <c r="I7" s="3" t="s">
        <v>52</v>
      </c>
      <c r="J7" s="3" t="s">
        <v>72</v>
      </c>
      <c r="K7" s="3" t="s">
        <v>73</v>
      </c>
      <c r="L7" s="3" t="s">
        <v>24</v>
      </c>
      <c r="M7" s="3"/>
      <c r="N7" s="3"/>
    </row>
    <row r="8" customFormat="false" ht="55.5" hidden="false" customHeight="true" outlineLevel="0" collapsed="false">
      <c r="A8" s="3" t="n">
        <v>7</v>
      </c>
      <c r="B8" s="4" t="s">
        <v>74</v>
      </c>
      <c r="C8" s="3" t="s">
        <v>75</v>
      </c>
      <c r="D8" s="3" t="s">
        <v>76</v>
      </c>
      <c r="E8" s="3" t="s">
        <v>77</v>
      </c>
      <c r="F8" s="3" t="s">
        <v>78</v>
      </c>
      <c r="G8" s="3" t="s">
        <v>79</v>
      </c>
      <c r="H8" s="3" t="s">
        <v>80</v>
      </c>
      <c r="I8" s="3" t="s">
        <v>81</v>
      </c>
      <c r="J8" s="3" t="s">
        <v>82</v>
      </c>
      <c r="K8" s="3" t="s">
        <v>83</v>
      </c>
      <c r="L8" s="3" t="s">
        <v>24</v>
      </c>
      <c r="M8" s="3"/>
      <c r="N8" s="3"/>
    </row>
    <row r="9" customFormat="false" ht="55.5" hidden="false" customHeight="true" outlineLevel="0" collapsed="false">
      <c r="A9" s="3" t="n">
        <v>8</v>
      </c>
      <c r="B9" s="4" t="s">
        <v>84</v>
      </c>
      <c r="C9" s="3" t="s">
        <v>85</v>
      </c>
      <c r="D9" s="3" t="s">
        <v>86</v>
      </c>
      <c r="E9" s="3" t="s">
        <v>87</v>
      </c>
      <c r="F9" s="3" t="s">
        <v>88</v>
      </c>
      <c r="G9" s="3" t="s">
        <v>89</v>
      </c>
      <c r="H9" s="3" t="s">
        <v>90</v>
      </c>
      <c r="I9" s="3" t="s">
        <v>91</v>
      </c>
      <c r="J9" s="3" t="s">
        <v>92</v>
      </c>
      <c r="K9" s="3" t="s">
        <v>93</v>
      </c>
      <c r="L9" s="3" t="s">
        <v>24</v>
      </c>
      <c r="M9" s="3"/>
      <c r="N9" s="3"/>
    </row>
    <row r="10" customFormat="false" ht="55.5" hidden="false" customHeight="true" outlineLevel="0" collapsed="false">
      <c r="A10" s="3" t="n">
        <v>9</v>
      </c>
      <c r="B10" s="4" t="s">
        <v>94</v>
      </c>
      <c r="C10" s="3" t="s">
        <v>95</v>
      </c>
      <c r="D10" s="3" t="s">
        <v>96</v>
      </c>
      <c r="E10" s="3" t="s">
        <v>97</v>
      </c>
      <c r="F10" s="3" t="s">
        <v>98</v>
      </c>
      <c r="G10" s="3" t="s">
        <v>99</v>
      </c>
      <c r="H10" s="3" t="s">
        <v>52</v>
      </c>
      <c r="I10" s="3" t="s">
        <v>52</v>
      </c>
      <c r="J10" s="3" t="s">
        <v>100</v>
      </c>
      <c r="K10" s="3" t="s">
        <v>101</v>
      </c>
      <c r="L10" s="3" t="s">
        <v>24</v>
      </c>
      <c r="M10" s="3"/>
      <c r="N10" s="3"/>
    </row>
    <row r="11" customFormat="false" ht="91.5" hidden="false" customHeight="true" outlineLevel="0" collapsed="false">
      <c r="A11" s="3" t="n">
        <v>10</v>
      </c>
      <c r="B11" s="4" t="s">
        <v>102</v>
      </c>
      <c r="C11" s="3" t="s">
        <v>103</v>
      </c>
      <c r="D11" s="3" t="s">
        <v>104</v>
      </c>
      <c r="E11" s="3" t="s">
        <v>105</v>
      </c>
      <c r="F11" s="3" t="s">
        <v>106</v>
      </c>
      <c r="G11" s="3" t="s">
        <v>107</v>
      </c>
      <c r="H11" s="3" t="s">
        <v>108</v>
      </c>
      <c r="I11" s="3" t="s">
        <v>109</v>
      </c>
      <c r="J11" s="3" t="s">
        <v>110</v>
      </c>
      <c r="K11" s="3" t="s">
        <v>111</v>
      </c>
      <c r="L11" s="3" t="s">
        <v>24</v>
      </c>
      <c r="M11" s="3"/>
      <c r="N11" s="3"/>
    </row>
    <row r="12" customFormat="false" ht="91.5" hidden="false" customHeight="true" outlineLevel="0" collapsed="false">
      <c r="A12" s="3" t="n">
        <v>11</v>
      </c>
      <c r="B12" s="4" t="s">
        <v>112</v>
      </c>
      <c r="C12" s="3" t="s">
        <v>113</v>
      </c>
      <c r="D12" s="3" t="s">
        <v>114</v>
      </c>
      <c r="E12" s="3" t="s">
        <v>115</v>
      </c>
      <c r="F12" s="3" t="s">
        <v>116</v>
      </c>
      <c r="G12" s="3" t="s">
        <v>117</v>
      </c>
      <c r="H12" s="3" t="s">
        <v>118</v>
      </c>
      <c r="I12" s="3" t="s">
        <v>52</v>
      </c>
      <c r="J12" s="3" t="s">
        <v>119</v>
      </c>
      <c r="K12" s="3" t="s">
        <v>120</v>
      </c>
      <c r="L12" s="3" t="s">
        <v>24</v>
      </c>
      <c r="M12" s="3"/>
      <c r="N12" s="3"/>
    </row>
    <row r="13" customFormat="false" ht="43.5" hidden="false" customHeight="true" outlineLevel="0" collapsed="false">
      <c r="A13" s="3" t="n">
        <v>12</v>
      </c>
      <c r="B13" s="4" t="s">
        <v>121</v>
      </c>
      <c r="C13" s="3" t="s">
        <v>122</v>
      </c>
      <c r="D13" s="3" t="s">
        <v>123</v>
      </c>
      <c r="E13" s="3" t="s">
        <v>124</v>
      </c>
      <c r="F13" s="3" t="s">
        <v>125</v>
      </c>
      <c r="G13" s="3" t="s">
        <v>126</v>
      </c>
      <c r="H13" s="3" t="s">
        <v>127</v>
      </c>
      <c r="I13" s="3" t="s">
        <v>128</v>
      </c>
      <c r="J13" s="3" t="s">
        <v>129</v>
      </c>
      <c r="K13" s="3" t="s">
        <v>130</v>
      </c>
      <c r="L13" s="3" t="s">
        <v>24</v>
      </c>
      <c r="M13" s="3"/>
      <c r="N13" s="3"/>
    </row>
    <row r="14" customFormat="false" ht="43.5" hidden="false" customHeight="true" outlineLevel="0" collapsed="false">
      <c r="A14" s="3" t="n">
        <v>13</v>
      </c>
      <c r="B14" s="4" t="s">
        <v>131</v>
      </c>
      <c r="C14" s="3" t="s">
        <v>132</v>
      </c>
      <c r="D14" s="3" t="s">
        <v>133</v>
      </c>
      <c r="E14" s="3" t="s">
        <v>134</v>
      </c>
      <c r="F14" s="3" t="s">
        <v>135</v>
      </c>
      <c r="G14" s="3" t="s">
        <v>136</v>
      </c>
      <c r="H14" s="3" t="s">
        <v>137</v>
      </c>
      <c r="I14" s="3" t="s">
        <v>138</v>
      </c>
      <c r="J14" s="3" t="s">
        <v>139</v>
      </c>
      <c r="K14" s="3" t="s">
        <v>140</v>
      </c>
      <c r="L14" s="3" t="s">
        <v>24</v>
      </c>
      <c r="M14" s="3"/>
      <c r="N14" s="3"/>
    </row>
    <row r="15" customFormat="false" ht="55.5" hidden="false" customHeight="true" outlineLevel="0" collapsed="false">
      <c r="A15" s="3" t="n">
        <v>14</v>
      </c>
      <c r="B15" s="4" t="s">
        <v>141</v>
      </c>
      <c r="C15" s="3" t="s">
        <v>142</v>
      </c>
      <c r="D15" s="3" t="s">
        <v>143</v>
      </c>
      <c r="E15" s="3" t="s">
        <v>52</v>
      </c>
      <c r="F15" s="3" t="s">
        <v>144</v>
      </c>
      <c r="G15" s="3" t="s">
        <v>145</v>
      </c>
      <c r="H15" s="3" t="s">
        <v>146</v>
      </c>
      <c r="I15" s="3" t="s">
        <v>147</v>
      </c>
      <c r="J15" s="3" t="s">
        <v>148</v>
      </c>
      <c r="K15" s="3" t="s">
        <v>149</v>
      </c>
      <c r="L15" s="3" t="s">
        <v>24</v>
      </c>
      <c r="M15" s="3"/>
      <c r="N15" s="3"/>
    </row>
    <row r="16" customFormat="false" ht="67.5" hidden="false" customHeight="true" outlineLevel="0" collapsed="false">
      <c r="A16" s="3" t="n">
        <v>15</v>
      </c>
      <c r="B16" s="4" t="s">
        <v>150</v>
      </c>
      <c r="C16" s="3" t="s">
        <v>151</v>
      </c>
      <c r="D16" s="3" t="s">
        <v>152</v>
      </c>
      <c r="E16" s="3" t="s">
        <v>153</v>
      </c>
      <c r="F16" s="3" t="s">
        <v>154</v>
      </c>
      <c r="G16" s="3" t="s">
        <v>155</v>
      </c>
      <c r="H16" s="3" t="s">
        <v>156</v>
      </c>
      <c r="I16" s="3" t="s">
        <v>52</v>
      </c>
      <c r="J16" s="3" t="s">
        <v>157</v>
      </c>
      <c r="K16" s="3" t="s">
        <v>158</v>
      </c>
      <c r="L16" s="3" t="s">
        <v>24</v>
      </c>
      <c r="M16" s="3"/>
      <c r="N16" s="3"/>
    </row>
    <row r="17" customFormat="false" ht="55.5" hidden="false" customHeight="true" outlineLevel="0" collapsed="false">
      <c r="A17" s="3" t="n">
        <v>16</v>
      </c>
      <c r="B17" s="4" t="s">
        <v>159</v>
      </c>
      <c r="C17" s="3" t="s">
        <v>160</v>
      </c>
      <c r="D17" s="3" t="s">
        <v>161</v>
      </c>
      <c r="E17" s="3" t="s">
        <v>162</v>
      </c>
      <c r="F17" s="3" t="s">
        <v>163</v>
      </c>
      <c r="G17" s="3" t="s">
        <v>164</v>
      </c>
      <c r="H17" s="3" t="s">
        <v>165</v>
      </c>
      <c r="I17" s="3" t="s">
        <v>166</v>
      </c>
      <c r="J17" s="3" t="s">
        <v>167</v>
      </c>
      <c r="K17" s="3" t="s">
        <v>168</v>
      </c>
      <c r="L17" s="3" t="s">
        <v>24</v>
      </c>
      <c r="M17" s="3"/>
      <c r="N17" s="3"/>
    </row>
    <row r="18" customFormat="false" ht="55.5" hidden="false" customHeight="true" outlineLevel="0" collapsed="false">
      <c r="A18" s="3" t="n">
        <v>17</v>
      </c>
      <c r="B18" s="4" t="s">
        <v>169</v>
      </c>
      <c r="C18" s="3" t="s">
        <v>170</v>
      </c>
      <c r="D18" s="3" t="s">
        <v>171</v>
      </c>
      <c r="E18" s="3" t="s">
        <v>52</v>
      </c>
      <c r="F18" s="3" t="s">
        <v>172</v>
      </c>
      <c r="G18" s="3" t="s">
        <v>173</v>
      </c>
      <c r="H18" s="3" t="s">
        <v>52</v>
      </c>
      <c r="I18" s="3" t="s">
        <v>174</v>
      </c>
      <c r="J18" s="3" t="s">
        <v>175</v>
      </c>
      <c r="K18" s="3" t="s">
        <v>176</v>
      </c>
      <c r="L18" s="3" t="s">
        <v>24</v>
      </c>
      <c r="M18" s="3"/>
      <c r="N18" s="3"/>
    </row>
    <row r="19" customFormat="false" ht="67.5" hidden="false" customHeight="true" outlineLevel="0" collapsed="false">
      <c r="A19" s="3" t="n">
        <v>18</v>
      </c>
      <c r="B19" s="4" t="s">
        <v>177</v>
      </c>
      <c r="C19" s="3" t="s">
        <v>178</v>
      </c>
      <c r="D19" s="3" t="s">
        <v>179</v>
      </c>
      <c r="E19" s="3" t="s">
        <v>180</v>
      </c>
      <c r="F19" s="3" t="s">
        <v>181</v>
      </c>
      <c r="G19" s="3" t="s">
        <v>182</v>
      </c>
      <c r="H19" s="3" t="s">
        <v>183</v>
      </c>
      <c r="I19" s="3" t="s">
        <v>184</v>
      </c>
      <c r="J19" s="3" t="s">
        <v>185</v>
      </c>
      <c r="K19" s="3" t="s">
        <v>186</v>
      </c>
      <c r="L19" s="3" t="s">
        <v>24</v>
      </c>
      <c r="M19" s="3"/>
      <c r="N19" s="3"/>
    </row>
    <row r="20" customFormat="false" ht="55.5" hidden="false" customHeight="true" outlineLevel="0" collapsed="false">
      <c r="A20" s="3" t="n">
        <v>19</v>
      </c>
      <c r="B20" s="4" t="s">
        <v>187</v>
      </c>
      <c r="C20" s="3" t="s">
        <v>188</v>
      </c>
      <c r="D20" s="3" t="s">
        <v>189</v>
      </c>
      <c r="E20" s="3" t="s">
        <v>190</v>
      </c>
      <c r="F20" s="3" t="s">
        <v>191</v>
      </c>
      <c r="G20" s="3" t="s">
        <v>192</v>
      </c>
      <c r="H20" s="3" t="s">
        <v>193</v>
      </c>
      <c r="I20" s="3" t="s">
        <v>194</v>
      </c>
      <c r="J20" s="3" t="s">
        <v>195</v>
      </c>
      <c r="K20" s="3" t="s">
        <v>196</v>
      </c>
      <c r="L20" s="3" t="s">
        <v>24</v>
      </c>
      <c r="M20" s="3"/>
      <c r="N20" s="3"/>
    </row>
    <row r="21" customFormat="false" ht="103.5" hidden="false" customHeight="true" outlineLevel="0" collapsed="false">
      <c r="A21" s="3" t="n">
        <v>20</v>
      </c>
      <c r="B21" s="4" t="s">
        <v>197</v>
      </c>
      <c r="C21" s="3" t="s">
        <v>198</v>
      </c>
      <c r="D21" s="3" t="s">
        <v>199</v>
      </c>
      <c r="E21" s="3" t="s">
        <v>200</v>
      </c>
      <c r="F21" s="3" t="s">
        <v>201</v>
      </c>
      <c r="G21" s="3" t="s">
        <v>202</v>
      </c>
      <c r="H21" s="3" t="s">
        <v>203</v>
      </c>
      <c r="I21" s="3" t="s">
        <v>204</v>
      </c>
      <c r="J21" s="3" t="s">
        <v>205</v>
      </c>
      <c r="K21" s="3" t="s">
        <v>206</v>
      </c>
      <c r="L21" s="3" t="s">
        <v>24</v>
      </c>
      <c r="M21" s="3"/>
      <c r="N21" s="3"/>
    </row>
    <row r="22" customFormat="false" ht="55.5" hidden="false" customHeight="true" outlineLevel="0" collapsed="false">
      <c r="A22" s="3" t="n">
        <v>21</v>
      </c>
      <c r="B22" s="4" t="s">
        <v>207</v>
      </c>
      <c r="C22" s="3" t="s">
        <v>208</v>
      </c>
      <c r="D22" s="3" t="s">
        <v>209</v>
      </c>
      <c r="E22" s="3" t="s">
        <v>210</v>
      </c>
      <c r="F22" s="3" t="s">
        <v>211</v>
      </c>
      <c r="G22" s="3" t="s">
        <v>212</v>
      </c>
      <c r="H22" s="3" t="s">
        <v>213</v>
      </c>
      <c r="I22" s="3" t="s">
        <v>214</v>
      </c>
      <c r="J22" s="3" t="s">
        <v>215</v>
      </c>
      <c r="K22" s="3" t="s">
        <v>216</v>
      </c>
      <c r="L22" s="3" t="s">
        <v>24</v>
      </c>
      <c r="M22" s="3"/>
      <c r="N22" s="3"/>
    </row>
    <row r="23" customFormat="false" ht="55.5" hidden="false" customHeight="true" outlineLevel="0" collapsed="false">
      <c r="A23" s="3" t="n">
        <v>22</v>
      </c>
      <c r="B23" s="4" t="s">
        <v>217</v>
      </c>
      <c r="C23" s="3" t="s">
        <v>218</v>
      </c>
      <c r="D23" s="3" t="s">
        <v>219</v>
      </c>
      <c r="E23" s="3" t="s">
        <v>220</v>
      </c>
      <c r="F23" s="3" t="s">
        <v>221</v>
      </c>
      <c r="G23" s="3" t="s">
        <v>222</v>
      </c>
      <c r="H23" s="3" t="s">
        <v>223</v>
      </c>
      <c r="I23" s="3" t="s">
        <v>224</v>
      </c>
      <c r="J23" s="3" t="s">
        <v>225</v>
      </c>
      <c r="K23" s="3" t="s">
        <v>226</v>
      </c>
      <c r="L23" s="3" t="s">
        <v>24</v>
      </c>
      <c r="M23" s="3"/>
      <c r="N23" s="3"/>
    </row>
    <row r="24" customFormat="false" ht="67.5" hidden="false" customHeight="true" outlineLevel="0" collapsed="false">
      <c r="A24" s="3" t="n">
        <v>23</v>
      </c>
      <c r="B24" s="4" t="s">
        <v>227</v>
      </c>
      <c r="C24" s="3" t="s">
        <v>228</v>
      </c>
      <c r="D24" s="3" t="s">
        <v>229</v>
      </c>
      <c r="E24" s="3" t="s">
        <v>230</v>
      </c>
      <c r="F24" s="3" t="s">
        <v>231</v>
      </c>
      <c r="G24" s="3" t="s">
        <v>232</v>
      </c>
      <c r="H24" s="3" t="s">
        <v>233</v>
      </c>
      <c r="I24" s="3" t="s">
        <v>234</v>
      </c>
      <c r="J24" s="3" t="s">
        <v>235</v>
      </c>
      <c r="K24" s="3" t="s">
        <v>236</v>
      </c>
      <c r="L24" s="3" t="s">
        <v>24</v>
      </c>
      <c r="M24" s="3"/>
      <c r="N24" s="3"/>
    </row>
    <row r="25" customFormat="false" ht="55.5" hidden="false" customHeight="true" outlineLevel="0" collapsed="false">
      <c r="A25" s="3" t="n">
        <v>24</v>
      </c>
      <c r="B25" s="4" t="s">
        <v>237</v>
      </c>
      <c r="C25" s="3" t="s">
        <v>238</v>
      </c>
      <c r="D25" s="3" t="s">
        <v>239</v>
      </c>
      <c r="E25" s="3" t="s">
        <v>240</v>
      </c>
      <c r="F25" s="3" t="s">
        <v>241</v>
      </c>
      <c r="G25" s="3" t="s">
        <v>242</v>
      </c>
      <c r="H25" s="3" t="s">
        <v>243</v>
      </c>
      <c r="I25" s="3" t="s">
        <v>244</v>
      </c>
      <c r="J25" s="3" t="s">
        <v>245</v>
      </c>
      <c r="K25" s="3" t="s">
        <v>246</v>
      </c>
      <c r="L25" s="3" t="s">
        <v>24</v>
      </c>
      <c r="M25" s="3"/>
      <c r="N25" s="3"/>
    </row>
    <row r="26" customFormat="false" ht="55.5" hidden="false" customHeight="true" outlineLevel="0" collapsed="false">
      <c r="A26" s="3" t="n">
        <v>25</v>
      </c>
      <c r="B26" s="4" t="s">
        <v>247</v>
      </c>
      <c r="C26" s="3" t="s">
        <v>248</v>
      </c>
      <c r="D26" s="3" t="s">
        <v>249</v>
      </c>
      <c r="E26" s="3" t="s">
        <v>250</v>
      </c>
      <c r="F26" s="3" t="s">
        <v>251</v>
      </c>
      <c r="G26" s="3" t="s">
        <v>252</v>
      </c>
      <c r="H26" s="3" t="s">
        <v>253</v>
      </c>
      <c r="I26" s="3" t="s">
        <v>52</v>
      </c>
      <c r="J26" s="3" t="s">
        <v>254</v>
      </c>
      <c r="K26" s="3" t="s">
        <v>255</v>
      </c>
      <c r="L26" s="3" t="s">
        <v>24</v>
      </c>
      <c r="M26" s="3"/>
      <c r="N26" s="3"/>
    </row>
    <row r="27" customFormat="false" ht="21.75" hidden="false" customHeight="true" outlineLevel="0" collapsed="false">
      <c r="A27" s="5" t="s">
        <v>256</v>
      </c>
      <c r="B27" s="5"/>
      <c r="C27" s="5"/>
      <c r="D27" s="5"/>
      <c r="E27" s="5"/>
      <c r="F27" s="5"/>
      <c r="G27" s="5"/>
      <c r="H27" s="5"/>
      <c r="I27" s="5"/>
      <c r="J27" s="5"/>
      <c r="K27" s="5"/>
      <c r="L27" s="5"/>
      <c r="M27" s="5"/>
      <c r="N27" s="5"/>
    </row>
    <row r="28" customFormat="false" ht="79.5" hidden="false" customHeight="true" outlineLevel="0" collapsed="false">
      <c r="A28" s="3" t="s">
        <v>257</v>
      </c>
      <c r="B28" s="4" t="s">
        <v>258</v>
      </c>
      <c r="C28" s="3" t="s">
        <v>15</v>
      </c>
      <c r="D28" s="3" t="s">
        <v>16</v>
      </c>
      <c r="E28" s="3" t="s">
        <v>259</v>
      </c>
      <c r="F28" s="3" t="s">
        <v>260</v>
      </c>
      <c r="G28" s="3" t="s">
        <v>261</v>
      </c>
      <c r="H28" s="3" t="s">
        <v>262</v>
      </c>
      <c r="I28" s="3" t="s">
        <v>263</v>
      </c>
      <c r="J28" s="3" t="s">
        <v>264</v>
      </c>
      <c r="K28" s="3" t="s">
        <v>265</v>
      </c>
      <c r="L28" s="3" t="s">
        <v>24</v>
      </c>
      <c r="M28" s="3"/>
      <c r="N28" s="3"/>
    </row>
    <row r="29" customFormat="false" ht="91.5" hidden="false" customHeight="true" outlineLevel="0" collapsed="false">
      <c r="A29" s="3" t="s">
        <v>266</v>
      </c>
      <c r="B29" s="4" t="s">
        <v>267</v>
      </c>
      <c r="C29" s="3" t="s">
        <v>268</v>
      </c>
      <c r="D29" s="3" t="s">
        <v>269</v>
      </c>
      <c r="E29" s="3" t="s">
        <v>270</v>
      </c>
      <c r="F29" s="3" t="s">
        <v>271</v>
      </c>
      <c r="G29" s="3" t="s">
        <v>272</v>
      </c>
      <c r="H29" s="3" t="s">
        <v>273</v>
      </c>
      <c r="I29" s="3" t="s">
        <v>274</v>
      </c>
      <c r="J29" s="3" t="s">
        <v>275</v>
      </c>
      <c r="K29" s="3" t="s">
        <v>276</v>
      </c>
      <c r="L29" s="3" t="s">
        <v>24</v>
      </c>
      <c r="M29" s="3"/>
      <c r="N29" s="3"/>
    </row>
    <row r="30" customFormat="false" ht="79.5" hidden="false" customHeight="true" outlineLevel="0" collapsed="false">
      <c r="A30" s="3" t="s">
        <v>277</v>
      </c>
      <c r="B30" s="4" t="s">
        <v>278</v>
      </c>
      <c r="C30" s="3" t="s">
        <v>26</v>
      </c>
      <c r="D30" s="3" t="s">
        <v>279</v>
      </c>
      <c r="E30" s="3" t="s">
        <v>280</v>
      </c>
      <c r="F30" s="3" t="s">
        <v>281</v>
      </c>
      <c r="G30" s="3" t="s">
        <v>282</v>
      </c>
      <c r="H30" s="3" t="s">
        <v>31</v>
      </c>
      <c r="I30" s="3" t="s">
        <v>283</v>
      </c>
      <c r="J30" s="3" t="s">
        <v>284</v>
      </c>
      <c r="K30" s="3" t="s">
        <v>285</v>
      </c>
      <c r="L30" s="3" t="s">
        <v>24</v>
      </c>
      <c r="M30" s="3"/>
      <c r="N30" s="3"/>
    </row>
    <row r="31" customFormat="false" ht="79.5" hidden="false" customHeight="true" outlineLevel="0" collapsed="false">
      <c r="A31" s="3" t="s">
        <v>286</v>
      </c>
      <c r="B31" s="4" t="s">
        <v>287</v>
      </c>
      <c r="C31" s="3" t="s">
        <v>36</v>
      </c>
      <c r="D31" s="3" t="s">
        <v>37</v>
      </c>
      <c r="E31" s="3" t="s">
        <v>288</v>
      </c>
      <c r="F31" s="3" t="s">
        <v>289</v>
      </c>
      <c r="G31" s="3" t="s">
        <v>290</v>
      </c>
      <c r="H31" s="3" t="s">
        <v>291</v>
      </c>
      <c r="I31" s="3" t="s">
        <v>292</v>
      </c>
      <c r="J31" s="3" t="s">
        <v>293</v>
      </c>
      <c r="K31" s="3" t="s">
        <v>294</v>
      </c>
      <c r="L31" s="3" t="s">
        <v>24</v>
      </c>
      <c r="M31" s="3"/>
      <c r="N31" s="3"/>
    </row>
    <row r="32" customFormat="false" ht="91.5" hidden="false" customHeight="true" outlineLevel="0" collapsed="false">
      <c r="A32" s="3" t="s">
        <v>295</v>
      </c>
      <c r="B32" s="4" t="s">
        <v>296</v>
      </c>
      <c r="C32" s="3" t="s">
        <v>46</v>
      </c>
      <c r="D32" s="3" t="s">
        <v>297</v>
      </c>
      <c r="E32" s="3" t="s">
        <v>298</v>
      </c>
      <c r="F32" s="3" t="s">
        <v>299</v>
      </c>
      <c r="G32" s="3" t="s">
        <v>300</v>
      </c>
      <c r="H32" s="3" t="s">
        <v>301</v>
      </c>
      <c r="I32" s="3" t="s">
        <v>302</v>
      </c>
      <c r="J32" s="3" t="s">
        <v>303</v>
      </c>
      <c r="K32" s="3" t="s">
        <v>304</v>
      </c>
      <c r="L32" s="3" t="s">
        <v>24</v>
      </c>
      <c r="M32" s="3"/>
      <c r="N32" s="3"/>
    </row>
    <row r="33" customFormat="false" ht="79.5" hidden="false" customHeight="true" outlineLevel="0" collapsed="false">
      <c r="A33" s="3" t="s">
        <v>305</v>
      </c>
      <c r="B33" s="4" t="s">
        <v>306</v>
      </c>
      <c r="C33" s="3" t="s">
        <v>56</v>
      </c>
      <c r="D33" s="3" t="s">
        <v>307</v>
      </c>
      <c r="E33" s="3" t="s">
        <v>308</v>
      </c>
      <c r="F33" s="3" t="s">
        <v>309</v>
      </c>
      <c r="G33" s="3" t="s">
        <v>310</v>
      </c>
      <c r="H33" s="3" t="s">
        <v>311</v>
      </c>
      <c r="I33" s="3" t="s">
        <v>312</v>
      </c>
      <c r="J33" s="3" t="s">
        <v>313</v>
      </c>
      <c r="K33" s="3" t="s">
        <v>314</v>
      </c>
      <c r="L33" s="3" t="s">
        <v>24</v>
      </c>
      <c r="M33" s="3"/>
      <c r="N33" s="3"/>
    </row>
    <row r="34" customFormat="false" ht="67.5" hidden="false" customHeight="true" outlineLevel="0" collapsed="false">
      <c r="A34" s="3" t="s">
        <v>315</v>
      </c>
      <c r="B34" s="4" t="s">
        <v>316</v>
      </c>
      <c r="C34" s="3" t="s">
        <v>66</v>
      </c>
      <c r="D34" s="3" t="s">
        <v>67</v>
      </c>
      <c r="E34" s="3" t="s">
        <v>317</v>
      </c>
      <c r="F34" s="3" t="s">
        <v>318</v>
      </c>
      <c r="G34" s="3" t="s">
        <v>319</v>
      </c>
      <c r="H34" s="3" t="s">
        <v>320</v>
      </c>
      <c r="I34" s="3" t="s">
        <v>321</v>
      </c>
      <c r="J34" s="3" t="s">
        <v>322</v>
      </c>
      <c r="K34" s="3" t="s">
        <v>323</v>
      </c>
      <c r="L34" s="3" t="s">
        <v>24</v>
      </c>
      <c r="M34" s="3"/>
      <c r="N34" s="3"/>
    </row>
    <row r="35" customFormat="false" ht="91.5" hidden="false" customHeight="true" outlineLevel="0" collapsed="false">
      <c r="A35" s="3" t="s">
        <v>324</v>
      </c>
      <c r="B35" s="4" t="s">
        <v>325</v>
      </c>
      <c r="C35" s="3" t="s">
        <v>75</v>
      </c>
      <c r="D35" s="3" t="s">
        <v>76</v>
      </c>
      <c r="E35" s="3" t="s">
        <v>326</v>
      </c>
      <c r="F35" s="3" t="s">
        <v>327</v>
      </c>
      <c r="G35" s="3" t="s">
        <v>328</v>
      </c>
      <c r="H35" s="3" t="s">
        <v>329</v>
      </c>
      <c r="I35" s="3" t="s">
        <v>330</v>
      </c>
      <c r="J35" s="3" t="s">
        <v>331</v>
      </c>
      <c r="K35" s="3" t="s">
        <v>332</v>
      </c>
      <c r="L35" s="3" t="s">
        <v>24</v>
      </c>
      <c r="M35" s="3"/>
      <c r="N35" s="3"/>
    </row>
    <row r="36" customFormat="false" ht="55.5" hidden="false" customHeight="true" outlineLevel="0" collapsed="false">
      <c r="A36" s="3" t="s">
        <v>333</v>
      </c>
      <c r="B36" s="4" t="s">
        <v>334</v>
      </c>
      <c r="C36" s="3" t="s">
        <v>95</v>
      </c>
      <c r="D36" s="3" t="s">
        <v>96</v>
      </c>
      <c r="E36" s="3" t="s">
        <v>335</v>
      </c>
      <c r="F36" s="3" t="s">
        <v>336</v>
      </c>
      <c r="G36" s="3" t="s">
        <v>337</v>
      </c>
      <c r="H36" s="3" t="s">
        <v>52</v>
      </c>
      <c r="I36" s="3" t="s">
        <v>338</v>
      </c>
      <c r="J36" s="3" t="s">
        <v>339</v>
      </c>
      <c r="K36" s="3" t="s">
        <v>340</v>
      </c>
      <c r="L36" s="3" t="s">
        <v>24</v>
      </c>
      <c r="M36" s="3"/>
      <c r="N36" s="3"/>
    </row>
    <row r="37" customFormat="false" ht="55.5" hidden="false" customHeight="true" outlineLevel="0" collapsed="false">
      <c r="A37" s="3" t="s">
        <v>341</v>
      </c>
      <c r="B37" s="4" t="s">
        <v>342</v>
      </c>
      <c r="C37" s="3" t="s">
        <v>343</v>
      </c>
      <c r="D37" s="3" t="s">
        <v>344</v>
      </c>
      <c r="E37" s="3" t="s">
        <v>345</v>
      </c>
      <c r="F37" s="3" t="s">
        <v>346</v>
      </c>
      <c r="G37" s="3" t="s">
        <v>347</v>
      </c>
      <c r="H37" s="3" t="s">
        <v>348</v>
      </c>
      <c r="I37" s="3" t="s">
        <v>349</v>
      </c>
      <c r="J37" s="3" t="s">
        <v>350</v>
      </c>
      <c r="K37" s="3" t="s">
        <v>351</v>
      </c>
      <c r="L37" s="3" t="s">
        <v>24</v>
      </c>
      <c r="M37" s="3"/>
      <c r="N37" s="3"/>
    </row>
    <row r="38" customFormat="false" ht="91.5" hidden="false" customHeight="true" outlineLevel="0" collapsed="false">
      <c r="A38" s="3" t="s">
        <v>352</v>
      </c>
      <c r="B38" s="4" t="s">
        <v>353</v>
      </c>
      <c r="C38" s="3" t="s">
        <v>103</v>
      </c>
      <c r="D38" s="3" t="s">
        <v>104</v>
      </c>
      <c r="E38" s="3" t="s">
        <v>354</v>
      </c>
      <c r="F38" s="3" t="s">
        <v>355</v>
      </c>
      <c r="G38" s="3" t="s">
        <v>356</v>
      </c>
      <c r="H38" s="3" t="s">
        <v>108</v>
      </c>
      <c r="I38" s="3" t="s">
        <v>357</v>
      </c>
      <c r="J38" s="3" t="s">
        <v>358</v>
      </c>
      <c r="K38" s="3" t="s">
        <v>359</v>
      </c>
      <c r="L38" s="3" t="s">
        <v>24</v>
      </c>
      <c r="M38" s="3"/>
      <c r="N38" s="3"/>
    </row>
    <row r="39" customFormat="false" ht="79.5" hidden="false" customHeight="true" outlineLevel="0" collapsed="false">
      <c r="A39" s="3" t="s">
        <v>360</v>
      </c>
      <c r="B39" s="4" t="s">
        <v>361</v>
      </c>
      <c r="C39" s="3" t="s">
        <v>362</v>
      </c>
      <c r="D39" s="3" t="s">
        <v>363</v>
      </c>
      <c r="E39" s="3" t="s">
        <v>364</v>
      </c>
      <c r="F39" s="3" t="s">
        <v>365</v>
      </c>
      <c r="G39" s="3" t="s">
        <v>366</v>
      </c>
      <c r="H39" s="3" t="s">
        <v>367</v>
      </c>
      <c r="I39" s="3" t="s">
        <v>368</v>
      </c>
      <c r="J39" s="3" t="s">
        <v>369</v>
      </c>
      <c r="K39" s="3" t="s">
        <v>370</v>
      </c>
      <c r="L39" s="3" t="s">
        <v>24</v>
      </c>
      <c r="M39" s="3"/>
      <c r="N39" s="3"/>
    </row>
    <row r="40" customFormat="false" ht="91.5" hidden="false" customHeight="true" outlineLevel="0" collapsed="false">
      <c r="A40" s="3" t="s">
        <v>371</v>
      </c>
      <c r="B40" s="4" t="s">
        <v>372</v>
      </c>
      <c r="C40" s="3" t="s">
        <v>113</v>
      </c>
      <c r="D40" s="3" t="s">
        <v>114</v>
      </c>
      <c r="E40" s="3" t="s">
        <v>373</v>
      </c>
      <c r="F40" s="3" t="s">
        <v>374</v>
      </c>
      <c r="G40" s="3" t="s">
        <v>375</v>
      </c>
      <c r="H40" s="3" t="s">
        <v>376</v>
      </c>
      <c r="I40" s="3" t="s">
        <v>377</v>
      </c>
      <c r="J40" s="3" t="s">
        <v>378</v>
      </c>
      <c r="K40" s="3" t="s">
        <v>379</v>
      </c>
      <c r="L40" s="3" t="s">
        <v>24</v>
      </c>
      <c r="M40" s="3"/>
      <c r="N40" s="3"/>
    </row>
    <row r="41" customFormat="false" ht="55.5" hidden="false" customHeight="true" outlineLevel="0" collapsed="false">
      <c r="A41" s="3" t="s">
        <v>380</v>
      </c>
      <c r="B41" s="4" t="s">
        <v>381</v>
      </c>
      <c r="C41" s="3" t="s">
        <v>122</v>
      </c>
      <c r="D41" s="3" t="s">
        <v>123</v>
      </c>
      <c r="E41" s="3" t="s">
        <v>382</v>
      </c>
      <c r="F41" s="3" t="s">
        <v>383</v>
      </c>
      <c r="G41" s="3" t="s">
        <v>384</v>
      </c>
      <c r="H41" s="3" t="s">
        <v>385</v>
      </c>
      <c r="I41" s="3" t="s">
        <v>386</v>
      </c>
      <c r="J41" s="3" t="s">
        <v>387</v>
      </c>
      <c r="K41" s="3" t="s">
        <v>130</v>
      </c>
      <c r="L41" s="3" t="s">
        <v>24</v>
      </c>
      <c r="M41" s="3"/>
      <c r="N41" s="3"/>
    </row>
    <row r="42" customFormat="false" ht="91.5" hidden="false" customHeight="true" outlineLevel="0" collapsed="false">
      <c r="A42" s="3" t="s">
        <v>388</v>
      </c>
      <c r="B42" s="4" t="s">
        <v>389</v>
      </c>
      <c r="C42" s="3" t="s">
        <v>142</v>
      </c>
      <c r="D42" s="3" t="s">
        <v>143</v>
      </c>
      <c r="E42" s="3" t="s">
        <v>52</v>
      </c>
      <c r="F42" s="3" t="s">
        <v>390</v>
      </c>
      <c r="G42" s="3" t="s">
        <v>391</v>
      </c>
      <c r="H42" s="3" t="s">
        <v>392</v>
      </c>
      <c r="I42" s="3" t="s">
        <v>393</v>
      </c>
      <c r="J42" s="3" t="s">
        <v>394</v>
      </c>
      <c r="K42" s="3" t="s">
        <v>395</v>
      </c>
      <c r="L42" s="3" t="s">
        <v>24</v>
      </c>
      <c r="M42" s="3"/>
      <c r="N42" s="3"/>
    </row>
    <row r="43" customFormat="false" ht="91.5" hidden="false" customHeight="true" outlineLevel="0" collapsed="false">
      <c r="A43" s="3" t="s">
        <v>396</v>
      </c>
      <c r="B43" s="4" t="s">
        <v>397</v>
      </c>
      <c r="C43" s="3" t="s">
        <v>151</v>
      </c>
      <c r="D43" s="3" t="s">
        <v>152</v>
      </c>
      <c r="E43" s="3" t="s">
        <v>398</v>
      </c>
      <c r="F43" s="3" t="s">
        <v>399</v>
      </c>
      <c r="G43" s="3" t="s">
        <v>400</v>
      </c>
      <c r="H43" s="3" t="s">
        <v>401</v>
      </c>
      <c r="I43" s="3" t="s">
        <v>402</v>
      </c>
      <c r="J43" s="3" t="s">
        <v>403</v>
      </c>
      <c r="K43" s="3" t="s">
        <v>158</v>
      </c>
      <c r="L43" s="3" t="s">
        <v>24</v>
      </c>
      <c r="M43" s="3"/>
      <c r="N43" s="3"/>
    </row>
    <row r="44" customFormat="false" ht="91.5" hidden="false" customHeight="true" outlineLevel="0" collapsed="false">
      <c r="A44" s="3" t="s">
        <v>404</v>
      </c>
      <c r="B44" s="4" t="s">
        <v>405</v>
      </c>
      <c r="C44" s="3" t="s">
        <v>160</v>
      </c>
      <c r="D44" s="3" t="s">
        <v>406</v>
      </c>
      <c r="E44" s="3" t="s">
        <v>407</v>
      </c>
      <c r="F44" s="3" t="s">
        <v>408</v>
      </c>
      <c r="G44" s="3" t="s">
        <v>409</v>
      </c>
      <c r="H44" s="3" t="s">
        <v>410</v>
      </c>
      <c r="I44" s="3" t="s">
        <v>411</v>
      </c>
      <c r="J44" s="3" t="s">
        <v>412</v>
      </c>
      <c r="K44" s="3" t="s">
        <v>413</v>
      </c>
      <c r="L44" s="3" t="s">
        <v>24</v>
      </c>
      <c r="M44" s="3"/>
      <c r="N44" s="3"/>
    </row>
    <row r="45" customFormat="false" ht="55.5" hidden="false" customHeight="true" outlineLevel="0" collapsed="false">
      <c r="A45" s="3" t="s">
        <v>414</v>
      </c>
      <c r="B45" s="4" t="s">
        <v>415</v>
      </c>
      <c r="C45" s="3" t="s">
        <v>170</v>
      </c>
      <c r="D45" s="3" t="s">
        <v>416</v>
      </c>
      <c r="E45" s="3" t="s">
        <v>52</v>
      </c>
      <c r="F45" s="3" t="s">
        <v>417</v>
      </c>
      <c r="G45" s="3" t="s">
        <v>418</v>
      </c>
      <c r="H45" s="3" t="s">
        <v>52</v>
      </c>
      <c r="I45" s="3" t="s">
        <v>419</v>
      </c>
      <c r="J45" s="3" t="s">
        <v>420</v>
      </c>
      <c r="K45" s="3" t="s">
        <v>421</v>
      </c>
      <c r="L45" s="3" t="s">
        <v>24</v>
      </c>
      <c r="M45" s="3"/>
      <c r="N45" s="3"/>
    </row>
    <row r="46" customFormat="false" ht="91.5" hidden="false" customHeight="true" outlineLevel="0" collapsed="false">
      <c r="A46" s="3" t="s">
        <v>422</v>
      </c>
      <c r="B46" s="4" t="s">
        <v>423</v>
      </c>
      <c r="C46" s="3" t="s">
        <v>178</v>
      </c>
      <c r="D46" s="3" t="s">
        <v>179</v>
      </c>
      <c r="E46" s="3" t="s">
        <v>424</v>
      </c>
      <c r="F46" s="3" t="s">
        <v>425</v>
      </c>
      <c r="G46" s="3" t="s">
        <v>426</v>
      </c>
      <c r="H46" s="3" t="s">
        <v>427</v>
      </c>
      <c r="I46" s="3" t="s">
        <v>428</v>
      </c>
      <c r="J46" s="3" t="s">
        <v>429</v>
      </c>
      <c r="K46" s="3" t="s">
        <v>430</v>
      </c>
      <c r="L46" s="3" t="s">
        <v>24</v>
      </c>
      <c r="M46" s="3"/>
      <c r="N46" s="3"/>
    </row>
    <row r="47" customFormat="false" ht="55.5" hidden="false" customHeight="true" outlineLevel="0" collapsed="false">
      <c r="A47" s="3" t="s">
        <v>431</v>
      </c>
      <c r="B47" s="4" t="s">
        <v>432</v>
      </c>
      <c r="C47" s="3" t="s">
        <v>188</v>
      </c>
      <c r="D47" s="3" t="s">
        <v>189</v>
      </c>
      <c r="E47" s="3" t="s">
        <v>433</v>
      </c>
      <c r="F47" s="3" t="s">
        <v>434</v>
      </c>
      <c r="G47" s="3" t="s">
        <v>435</v>
      </c>
      <c r="H47" s="3" t="s">
        <v>436</v>
      </c>
      <c r="I47" s="3" t="s">
        <v>437</v>
      </c>
      <c r="J47" s="3" t="s">
        <v>438</v>
      </c>
      <c r="K47" s="3" t="s">
        <v>196</v>
      </c>
      <c r="L47" s="3" t="s">
        <v>24</v>
      </c>
      <c r="M47" s="3"/>
      <c r="N47" s="3"/>
    </row>
    <row r="48" customFormat="false" ht="187.5" hidden="false" customHeight="true" outlineLevel="0" collapsed="false">
      <c r="A48" s="3" t="s">
        <v>439</v>
      </c>
      <c r="B48" s="4" t="s">
        <v>440</v>
      </c>
      <c r="C48" s="3" t="s">
        <v>441</v>
      </c>
      <c r="D48" s="3" t="s">
        <v>442</v>
      </c>
      <c r="E48" s="3" t="s">
        <v>443</v>
      </c>
      <c r="F48" s="3" t="s">
        <v>444</v>
      </c>
      <c r="G48" s="3" t="s">
        <v>445</v>
      </c>
      <c r="H48" s="3" t="s">
        <v>446</v>
      </c>
      <c r="I48" s="3" t="s">
        <v>447</v>
      </c>
      <c r="J48" s="3" t="s">
        <v>448</v>
      </c>
      <c r="K48" s="3" t="s">
        <v>449</v>
      </c>
      <c r="L48" s="3" t="s">
        <v>24</v>
      </c>
      <c r="M48" s="3"/>
      <c r="N48" s="3"/>
    </row>
    <row r="49" customFormat="false" ht="91.5" hidden="false" customHeight="true" outlineLevel="0" collapsed="false">
      <c r="A49" s="3" t="s">
        <v>450</v>
      </c>
      <c r="B49" s="4" t="s">
        <v>451</v>
      </c>
      <c r="C49" s="3" t="s">
        <v>198</v>
      </c>
      <c r="D49" s="3" t="s">
        <v>452</v>
      </c>
      <c r="E49" s="3" t="s">
        <v>453</v>
      </c>
      <c r="F49" s="3" t="s">
        <v>454</v>
      </c>
      <c r="G49" s="3" t="s">
        <v>455</v>
      </c>
      <c r="H49" s="3" t="s">
        <v>456</v>
      </c>
      <c r="I49" s="3" t="s">
        <v>457</v>
      </c>
      <c r="J49" s="3" t="s">
        <v>458</v>
      </c>
      <c r="K49" s="3" t="s">
        <v>459</v>
      </c>
      <c r="L49" s="3" t="s">
        <v>24</v>
      </c>
      <c r="M49" s="3"/>
      <c r="N49" s="3"/>
    </row>
    <row r="50" customFormat="false" ht="139.5" hidden="false" customHeight="true" outlineLevel="0" collapsed="false">
      <c r="A50" s="3" t="s">
        <v>460</v>
      </c>
      <c r="B50" s="4" t="s">
        <v>461</v>
      </c>
      <c r="C50" s="3" t="s">
        <v>462</v>
      </c>
      <c r="D50" s="3" t="s">
        <v>463</v>
      </c>
      <c r="E50" s="3" t="s">
        <v>464</v>
      </c>
      <c r="F50" s="3" t="s">
        <v>465</v>
      </c>
      <c r="G50" s="3" t="s">
        <v>466</v>
      </c>
      <c r="H50" s="3" t="s">
        <v>467</v>
      </c>
      <c r="I50" s="3" t="s">
        <v>468</v>
      </c>
      <c r="J50" s="3" t="s">
        <v>469</v>
      </c>
      <c r="K50" s="3" t="s">
        <v>470</v>
      </c>
      <c r="L50" s="3" t="s">
        <v>24</v>
      </c>
      <c r="M50" s="3"/>
      <c r="N50" s="3"/>
    </row>
    <row r="51" customFormat="false" ht="187.5" hidden="false" customHeight="true" outlineLevel="0" collapsed="false">
      <c r="A51" s="3" t="s">
        <v>471</v>
      </c>
      <c r="B51" s="4" t="s">
        <v>472</v>
      </c>
      <c r="C51" s="3" t="s">
        <v>473</v>
      </c>
      <c r="D51" s="3" t="s">
        <v>474</v>
      </c>
      <c r="E51" s="3" t="s">
        <v>475</v>
      </c>
      <c r="F51" s="3" t="s">
        <v>476</v>
      </c>
      <c r="G51" s="3" t="s">
        <v>477</v>
      </c>
      <c r="H51" s="3" t="s">
        <v>478</v>
      </c>
      <c r="I51" s="3" t="s">
        <v>479</v>
      </c>
      <c r="J51" s="3" t="s">
        <v>480</v>
      </c>
      <c r="K51" s="3" t="s">
        <v>481</v>
      </c>
      <c r="L51" s="3" t="s">
        <v>24</v>
      </c>
      <c r="M51" s="3"/>
      <c r="N51" s="3"/>
    </row>
    <row r="52" customFormat="false" ht="67.5" hidden="false" customHeight="true" outlineLevel="0" collapsed="false">
      <c r="A52" s="3" t="s">
        <v>482</v>
      </c>
      <c r="B52" s="4" t="s">
        <v>483</v>
      </c>
      <c r="C52" s="3" t="s">
        <v>208</v>
      </c>
      <c r="D52" s="3" t="s">
        <v>484</v>
      </c>
      <c r="E52" s="3" t="s">
        <v>485</v>
      </c>
      <c r="F52" s="3" t="s">
        <v>486</v>
      </c>
      <c r="G52" s="3" t="s">
        <v>487</v>
      </c>
      <c r="H52" s="3" t="s">
        <v>488</v>
      </c>
      <c r="I52" s="3" t="s">
        <v>489</v>
      </c>
      <c r="J52" s="3" t="s">
        <v>490</v>
      </c>
      <c r="K52" s="3" t="s">
        <v>491</v>
      </c>
      <c r="L52" s="3" t="s">
        <v>24</v>
      </c>
      <c r="M52" s="3"/>
      <c r="N52" s="3"/>
    </row>
    <row r="53" customFormat="false" ht="79.5" hidden="false" customHeight="true" outlineLevel="0" collapsed="false">
      <c r="A53" s="3" t="s">
        <v>492</v>
      </c>
      <c r="B53" s="4" t="s">
        <v>493</v>
      </c>
      <c r="C53" s="3" t="s">
        <v>494</v>
      </c>
      <c r="D53" s="3" t="s">
        <v>219</v>
      </c>
      <c r="E53" s="3" t="s">
        <v>495</v>
      </c>
      <c r="F53" s="3" t="s">
        <v>496</v>
      </c>
      <c r="G53" s="3" t="s">
        <v>222</v>
      </c>
      <c r="H53" s="3" t="s">
        <v>497</v>
      </c>
      <c r="I53" s="3" t="s">
        <v>498</v>
      </c>
      <c r="J53" s="3" t="s">
        <v>499</v>
      </c>
      <c r="K53" s="3" t="s">
        <v>500</v>
      </c>
      <c r="L53" s="3" t="s">
        <v>24</v>
      </c>
      <c r="M53" s="3"/>
      <c r="N53" s="3"/>
    </row>
    <row r="54" customFormat="false" ht="79.5" hidden="false" customHeight="true" outlineLevel="0" collapsed="false">
      <c r="A54" s="3" t="s">
        <v>501</v>
      </c>
      <c r="B54" s="4" t="s">
        <v>502</v>
      </c>
      <c r="C54" s="3" t="s">
        <v>503</v>
      </c>
      <c r="D54" s="3" t="s">
        <v>504</v>
      </c>
      <c r="E54" s="3" t="s">
        <v>505</v>
      </c>
      <c r="F54" s="3" t="s">
        <v>506</v>
      </c>
      <c r="G54" s="3" t="s">
        <v>507</v>
      </c>
      <c r="H54" s="3" t="s">
        <v>508</v>
      </c>
      <c r="I54" s="3" t="s">
        <v>52</v>
      </c>
      <c r="J54" s="3" t="s">
        <v>509</v>
      </c>
      <c r="K54" s="3" t="s">
        <v>510</v>
      </c>
      <c r="L54" s="3" t="s">
        <v>24</v>
      </c>
      <c r="M54" s="3"/>
      <c r="N54" s="3"/>
    </row>
    <row r="55" customFormat="false" ht="115.5" hidden="false" customHeight="true" outlineLevel="0" collapsed="false">
      <c r="A55" s="3" t="s">
        <v>511</v>
      </c>
      <c r="B55" s="4" t="s">
        <v>512</v>
      </c>
      <c r="C55" s="3" t="s">
        <v>513</v>
      </c>
      <c r="D55" s="3" t="s">
        <v>239</v>
      </c>
      <c r="E55" s="3" t="s">
        <v>514</v>
      </c>
      <c r="F55" s="3" t="s">
        <v>515</v>
      </c>
      <c r="G55" s="3" t="s">
        <v>516</v>
      </c>
      <c r="H55" s="3" t="s">
        <v>517</v>
      </c>
      <c r="I55" s="3" t="s">
        <v>518</v>
      </c>
      <c r="J55" s="3" t="s">
        <v>519</v>
      </c>
      <c r="K55" s="3" t="s">
        <v>520</v>
      </c>
      <c r="L55" s="3" t="s">
        <v>24</v>
      </c>
      <c r="M55" s="3"/>
      <c r="N55" s="3"/>
    </row>
    <row r="56" customFormat="false" ht="79.5" hidden="false" customHeight="true" outlineLevel="0" collapsed="false">
      <c r="A56" s="3" t="s">
        <v>521</v>
      </c>
      <c r="B56" s="4" t="s">
        <v>522</v>
      </c>
      <c r="C56" s="3" t="s">
        <v>132</v>
      </c>
      <c r="D56" s="3" t="s">
        <v>523</v>
      </c>
      <c r="E56" s="3" t="s">
        <v>524</v>
      </c>
      <c r="F56" s="3" t="s">
        <v>525</v>
      </c>
      <c r="G56" s="3" t="s">
        <v>526</v>
      </c>
      <c r="H56" s="3" t="s">
        <v>527</v>
      </c>
      <c r="I56" s="3" t="s">
        <v>528</v>
      </c>
      <c r="J56" s="3" t="s">
        <v>529</v>
      </c>
      <c r="K56" s="3" t="s">
        <v>530</v>
      </c>
      <c r="L56" s="3" t="s">
        <v>24</v>
      </c>
      <c r="M56" s="3"/>
      <c r="N56" s="3"/>
    </row>
    <row r="57" customFormat="false" ht="67.5" hidden="false" customHeight="true" outlineLevel="0" collapsed="false">
      <c r="A57" s="3" t="s">
        <v>531</v>
      </c>
      <c r="B57" s="4" t="s">
        <v>532</v>
      </c>
      <c r="C57" s="3" t="s">
        <v>248</v>
      </c>
      <c r="D57" s="3" t="s">
        <v>249</v>
      </c>
      <c r="E57" s="3" t="s">
        <v>533</v>
      </c>
      <c r="F57" s="3" t="s">
        <v>534</v>
      </c>
      <c r="G57" s="3" t="s">
        <v>535</v>
      </c>
      <c r="H57" s="3" t="s">
        <v>536</v>
      </c>
      <c r="I57" s="3" t="s">
        <v>537</v>
      </c>
      <c r="J57" s="3" t="s">
        <v>538</v>
      </c>
      <c r="K57" s="3" t="s">
        <v>539</v>
      </c>
      <c r="L57" s="3" t="s">
        <v>24</v>
      </c>
      <c r="M57" s="3"/>
      <c r="N57" s="3"/>
    </row>
  </sheetData>
  <autoFilter ref="A1:N57"/>
  <dataValidations count="2">
    <dataValidation allowBlank="false" errorStyle="stop" operator="between" showDropDown="false" showErrorMessage="false" showInputMessage="false" sqref="L2:L26" type="list">
      <formula1>"OPEN,AGREED,CHANGE REQUESTED,REJECTED,CLARIFY WITH EXTERNAL"</formula1>
      <formula2>0</formula2>
    </dataValidation>
    <dataValidation allowBlank="false" errorStyle="stop" operator="between" showDropDown="false" showErrorMessage="false" showInputMessage="false" sqref="L28:L57" type="list">
      <formula1>"OPEN,AGREED,CHANGE REQUESTED,REJECTED,CLARIFY WITH EXTERNAL"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13"/>
    <col collapsed="false" customWidth="true" hidden="false" outlineLevel="0" max="3" min="3" style="1" width="24"/>
    <col collapsed="false" customWidth="true" hidden="false" outlineLevel="0" max="4" min="4" style="1" width="11"/>
    <col collapsed="false" customWidth="true" hidden="false" outlineLevel="0" max="5" min="5" style="1" width="7"/>
    <col collapsed="false" customWidth="true" hidden="false" outlineLevel="0" max="6" min="6" style="1" width="8"/>
    <col collapsed="false" customWidth="true" hidden="false" outlineLevel="0" max="7" min="7" style="1" width="48"/>
    <col collapsed="false" customWidth="true" hidden="false" outlineLevel="0" max="8" min="8" style="1" width="30"/>
    <col collapsed="false" customWidth="true" hidden="false" outlineLevel="0" max="12" min="9" style="1" width="50"/>
    <col collapsed="false" customWidth="true" hidden="false" outlineLevel="0" max="14" min="13" style="1" width="45"/>
    <col collapsed="false" customWidth="true" hidden="false" outlineLevel="0" max="15" min="15" style="1" width="55"/>
    <col collapsed="false" customWidth="true" hidden="false" outlineLevel="0" max="16" min="16" style="1" width="12"/>
    <col collapsed="false" customWidth="true" hidden="false" outlineLevel="0" max="17" min="17" style="1" width="30"/>
    <col collapsed="false" customWidth="true" hidden="false" outlineLevel="0" max="18" min="18" style="1" width="12"/>
    <col collapsed="false" customWidth="true" hidden="false" outlineLevel="0" max="19" min="19" style="1" width="11"/>
  </cols>
  <sheetData>
    <row r="1" customFormat="false" ht="31.5" hidden="false" customHeight="true" outlineLevel="0" collapsed="false">
      <c r="A1" s="2" t="s">
        <v>0</v>
      </c>
      <c r="B1" s="2" t="s">
        <v>1</v>
      </c>
      <c r="C1" s="2" t="s">
        <v>2</v>
      </c>
      <c r="D1" s="2" t="s">
        <v>540</v>
      </c>
      <c r="E1" s="2" t="s">
        <v>541</v>
      </c>
      <c r="F1" s="2" t="s">
        <v>542</v>
      </c>
      <c r="G1" s="2" t="s">
        <v>3</v>
      </c>
      <c r="H1" s="2" t="s">
        <v>543</v>
      </c>
      <c r="I1" s="2" t="s">
        <v>544</v>
      </c>
      <c r="J1" s="2" t="s">
        <v>5</v>
      </c>
      <c r="K1" s="2" t="s">
        <v>6</v>
      </c>
      <c r="L1" s="2" t="s">
        <v>7</v>
      </c>
      <c r="M1" s="2" t="s">
        <v>8</v>
      </c>
      <c r="N1" s="2" t="s">
        <v>9</v>
      </c>
      <c r="O1" s="2" t="s">
        <v>10</v>
      </c>
      <c r="P1" s="2" t="s">
        <v>11</v>
      </c>
      <c r="Q1" s="2" t="s">
        <v>12</v>
      </c>
      <c r="R1" s="2" t="s">
        <v>13</v>
      </c>
      <c r="S1" s="2" t="s">
        <v>545</v>
      </c>
    </row>
    <row r="2" customFormat="false" ht="240" hidden="false" customHeight="true" outlineLevel="0" collapsed="false">
      <c r="A2" s="3" t="n">
        <v>1</v>
      </c>
      <c r="B2" s="3" t="s">
        <v>14</v>
      </c>
      <c r="C2" s="3" t="s">
        <v>15</v>
      </c>
      <c r="D2" s="3" t="s">
        <v>546</v>
      </c>
      <c r="E2" s="3" t="s">
        <v>547</v>
      </c>
      <c r="F2" s="3" t="s">
        <v>548</v>
      </c>
      <c r="G2" s="3" t="s">
        <v>16</v>
      </c>
      <c r="H2" s="3" t="s">
        <v>549</v>
      </c>
      <c r="I2" s="3" t="s">
        <v>550</v>
      </c>
      <c r="J2" s="3" t="s">
        <v>551</v>
      </c>
      <c r="K2" s="3" t="s">
        <v>552</v>
      </c>
      <c r="L2" s="3" t="s">
        <v>553</v>
      </c>
      <c r="M2" s="3" t="s">
        <v>554</v>
      </c>
      <c r="N2" s="3" t="s">
        <v>555</v>
      </c>
      <c r="O2" s="3" t="s">
        <v>556</v>
      </c>
      <c r="P2" s="3" t="s">
        <v>24</v>
      </c>
      <c r="Q2" s="3"/>
      <c r="R2" s="3"/>
      <c r="S2" s="3"/>
    </row>
    <row r="3" customFormat="false" ht="240" hidden="false" customHeight="true" outlineLevel="0" collapsed="false">
      <c r="A3" s="3" t="n">
        <v>2</v>
      </c>
      <c r="B3" s="3" t="s">
        <v>25</v>
      </c>
      <c r="C3" s="3" t="s">
        <v>26</v>
      </c>
      <c r="D3" s="3" t="s">
        <v>557</v>
      </c>
      <c r="E3" s="3" t="s">
        <v>547</v>
      </c>
      <c r="F3" s="3" t="s">
        <v>548</v>
      </c>
      <c r="G3" s="3" t="s">
        <v>27</v>
      </c>
      <c r="H3" s="3" t="s">
        <v>558</v>
      </c>
      <c r="I3" s="3" t="s">
        <v>559</v>
      </c>
      <c r="J3" s="3" t="s">
        <v>560</v>
      </c>
      <c r="K3" s="3" t="s">
        <v>561</v>
      </c>
      <c r="L3" s="3" t="s">
        <v>562</v>
      </c>
      <c r="M3" s="3" t="s">
        <v>563</v>
      </c>
      <c r="N3" s="3" t="s">
        <v>564</v>
      </c>
      <c r="O3" s="3" t="s">
        <v>565</v>
      </c>
      <c r="P3" s="3" t="s">
        <v>24</v>
      </c>
      <c r="Q3" s="3"/>
      <c r="R3" s="3"/>
      <c r="S3" s="3"/>
    </row>
    <row r="4" customFormat="false" ht="240" hidden="false" customHeight="true" outlineLevel="0" collapsed="false">
      <c r="A4" s="3" t="n">
        <v>3</v>
      </c>
      <c r="B4" s="3" t="s">
        <v>35</v>
      </c>
      <c r="C4" s="3" t="s">
        <v>36</v>
      </c>
      <c r="D4" s="3" t="s">
        <v>566</v>
      </c>
      <c r="E4" s="3" t="s">
        <v>547</v>
      </c>
      <c r="F4" s="3" t="s">
        <v>548</v>
      </c>
      <c r="G4" s="3" t="s">
        <v>37</v>
      </c>
      <c r="H4" s="3" t="s">
        <v>567</v>
      </c>
      <c r="I4" s="3" t="s">
        <v>568</v>
      </c>
      <c r="J4" s="3" t="s">
        <v>569</v>
      </c>
      <c r="K4" s="3" t="s">
        <v>570</v>
      </c>
      <c r="L4" s="3" t="s">
        <v>571</v>
      </c>
      <c r="M4" s="3" t="s">
        <v>572</v>
      </c>
      <c r="N4" s="3" t="s">
        <v>573</v>
      </c>
      <c r="O4" s="3" t="s">
        <v>574</v>
      </c>
      <c r="P4" s="3" t="s">
        <v>24</v>
      </c>
      <c r="Q4" s="3"/>
      <c r="R4" s="3"/>
      <c r="S4" s="3"/>
    </row>
    <row r="5" customFormat="false" ht="240" hidden="false" customHeight="true" outlineLevel="0" collapsed="false">
      <c r="A5" s="3" t="n">
        <v>4</v>
      </c>
      <c r="B5" s="3" t="s">
        <v>45</v>
      </c>
      <c r="C5" s="3" t="s">
        <v>46</v>
      </c>
      <c r="D5" s="3" t="s">
        <v>575</v>
      </c>
      <c r="E5" s="3" t="s">
        <v>547</v>
      </c>
      <c r="F5" s="3" t="s">
        <v>548</v>
      </c>
      <c r="G5" s="3" t="s">
        <v>47</v>
      </c>
      <c r="H5" s="3" t="s">
        <v>576</v>
      </c>
      <c r="I5" s="3" t="s">
        <v>577</v>
      </c>
      <c r="J5" s="3" t="s">
        <v>578</v>
      </c>
      <c r="K5" s="3" t="s">
        <v>579</v>
      </c>
      <c r="L5" s="3" t="s">
        <v>580</v>
      </c>
      <c r="M5" s="3" t="s">
        <v>581</v>
      </c>
      <c r="N5" s="3" t="s">
        <v>582</v>
      </c>
      <c r="O5" s="3" t="s">
        <v>583</v>
      </c>
      <c r="P5" s="3" t="s">
        <v>24</v>
      </c>
      <c r="Q5" s="3"/>
      <c r="R5" s="3"/>
      <c r="S5" s="3"/>
    </row>
    <row r="6" customFormat="false" ht="240" hidden="false" customHeight="true" outlineLevel="0" collapsed="false">
      <c r="A6" s="3" t="n">
        <v>5</v>
      </c>
      <c r="B6" s="3" t="s">
        <v>55</v>
      </c>
      <c r="C6" s="3" t="s">
        <v>56</v>
      </c>
      <c r="D6" s="3" t="s">
        <v>584</v>
      </c>
      <c r="E6" s="3" t="s">
        <v>547</v>
      </c>
      <c r="F6" s="3" t="s">
        <v>548</v>
      </c>
      <c r="G6" s="3" t="s">
        <v>57</v>
      </c>
      <c r="H6" s="3" t="s">
        <v>585</v>
      </c>
      <c r="I6" s="3" t="s">
        <v>586</v>
      </c>
      <c r="J6" s="3" t="s">
        <v>587</v>
      </c>
      <c r="K6" s="3" t="s">
        <v>588</v>
      </c>
      <c r="L6" s="3" t="s">
        <v>589</v>
      </c>
      <c r="M6" s="3" t="s">
        <v>590</v>
      </c>
      <c r="N6" s="3" t="s">
        <v>591</v>
      </c>
      <c r="O6" s="3" t="s">
        <v>592</v>
      </c>
      <c r="P6" s="3" t="s">
        <v>24</v>
      </c>
      <c r="Q6" s="3"/>
      <c r="R6" s="3"/>
      <c r="S6" s="3"/>
    </row>
    <row r="7" customFormat="false" ht="240" hidden="false" customHeight="true" outlineLevel="0" collapsed="false">
      <c r="A7" s="3" t="n">
        <v>6</v>
      </c>
      <c r="B7" s="3" t="s">
        <v>65</v>
      </c>
      <c r="C7" s="3" t="s">
        <v>66</v>
      </c>
      <c r="D7" s="3" t="s">
        <v>593</v>
      </c>
      <c r="E7" s="3" t="s">
        <v>547</v>
      </c>
      <c r="F7" s="3" t="s">
        <v>548</v>
      </c>
      <c r="G7" s="3" t="s">
        <v>67</v>
      </c>
      <c r="H7" s="3" t="s">
        <v>594</v>
      </c>
      <c r="I7" s="3" t="s">
        <v>595</v>
      </c>
      <c r="J7" s="3" t="s">
        <v>596</v>
      </c>
      <c r="K7" s="3" t="s">
        <v>597</v>
      </c>
      <c r="L7" s="3" t="s">
        <v>598</v>
      </c>
      <c r="M7" s="3" t="s">
        <v>599</v>
      </c>
      <c r="N7" s="3" t="s">
        <v>600</v>
      </c>
      <c r="O7" s="3" t="s">
        <v>601</v>
      </c>
      <c r="P7" s="3" t="s">
        <v>24</v>
      </c>
      <c r="Q7" s="3"/>
      <c r="R7" s="3"/>
      <c r="S7" s="3"/>
    </row>
    <row r="8" customFormat="false" ht="240" hidden="false" customHeight="true" outlineLevel="0" collapsed="false">
      <c r="A8" s="3" t="n">
        <v>7</v>
      </c>
      <c r="B8" s="3" t="s">
        <v>74</v>
      </c>
      <c r="C8" s="3" t="s">
        <v>75</v>
      </c>
      <c r="D8" s="3" t="s">
        <v>602</v>
      </c>
      <c r="E8" s="3" t="s">
        <v>547</v>
      </c>
      <c r="F8" s="3" t="s">
        <v>548</v>
      </c>
      <c r="G8" s="3" t="s">
        <v>76</v>
      </c>
      <c r="H8" s="3" t="s">
        <v>603</v>
      </c>
      <c r="I8" s="3" t="s">
        <v>604</v>
      </c>
      <c r="J8" s="3" t="s">
        <v>605</v>
      </c>
      <c r="K8" s="3" t="s">
        <v>606</v>
      </c>
      <c r="L8" s="3" t="s">
        <v>607</v>
      </c>
      <c r="M8" s="3" t="s">
        <v>608</v>
      </c>
      <c r="N8" s="3" t="s">
        <v>609</v>
      </c>
      <c r="O8" s="3" t="s">
        <v>610</v>
      </c>
      <c r="P8" s="3" t="s">
        <v>24</v>
      </c>
      <c r="Q8" s="3"/>
      <c r="R8" s="3"/>
      <c r="S8" s="3"/>
    </row>
    <row r="9" customFormat="false" ht="240" hidden="false" customHeight="true" outlineLevel="0" collapsed="false">
      <c r="A9" s="3" t="n">
        <v>8</v>
      </c>
      <c r="B9" s="3" t="s">
        <v>84</v>
      </c>
      <c r="C9" s="3" t="s">
        <v>85</v>
      </c>
      <c r="D9" s="3" t="s">
        <v>611</v>
      </c>
      <c r="E9" s="3" t="s">
        <v>547</v>
      </c>
      <c r="F9" s="3" t="s">
        <v>548</v>
      </c>
      <c r="G9" s="3" t="s">
        <v>86</v>
      </c>
      <c r="H9" s="3" t="s">
        <v>612</v>
      </c>
      <c r="I9" s="3" t="s">
        <v>613</v>
      </c>
      <c r="J9" s="3" t="s">
        <v>614</v>
      </c>
      <c r="K9" s="3" t="s">
        <v>615</v>
      </c>
      <c r="L9" s="3" t="s">
        <v>616</v>
      </c>
      <c r="M9" s="3" t="s">
        <v>617</v>
      </c>
      <c r="N9" s="3" t="s">
        <v>618</v>
      </c>
      <c r="O9" s="3" t="s">
        <v>619</v>
      </c>
      <c r="P9" s="3" t="s">
        <v>24</v>
      </c>
      <c r="Q9" s="3"/>
      <c r="R9" s="3"/>
      <c r="S9" s="3"/>
    </row>
    <row r="10" customFormat="false" ht="240" hidden="false" customHeight="true" outlineLevel="0" collapsed="false">
      <c r="A10" s="3" t="n">
        <v>9</v>
      </c>
      <c r="B10" s="3" t="s">
        <v>94</v>
      </c>
      <c r="C10" s="3" t="s">
        <v>95</v>
      </c>
      <c r="D10" s="3" t="s">
        <v>620</v>
      </c>
      <c r="E10" s="3" t="s">
        <v>547</v>
      </c>
      <c r="F10" s="3" t="s">
        <v>548</v>
      </c>
      <c r="G10" s="3" t="s">
        <v>96</v>
      </c>
      <c r="H10" s="3" t="s">
        <v>621</v>
      </c>
      <c r="I10" s="3" t="s">
        <v>622</v>
      </c>
      <c r="J10" s="3" t="s">
        <v>623</v>
      </c>
      <c r="K10" s="3" t="s">
        <v>624</v>
      </c>
      <c r="L10" s="3" t="s">
        <v>625</v>
      </c>
      <c r="M10" s="3" t="s">
        <v>599</v>
      </c>
      <c r="N10" s="3" t="s">
        <v>626</v>
      </c>
      <c r="O10" s="3" t="s">
        <v>627</v>
      </c>
      <c r="P10" s="3" t="s">
        <v>24</v>
      </c>
      <c r="Q10" s="3"/>
      <c r="R10" s="3"/>
      <c r="S10" s="3"/>
    </row>
    <row r="11" customFormat="false" ht="240" hidden="false" customHeight="true" outlineLevel="0" collapsed="false">
      <c r="A11" s="3" t="n">
        <v>10</v>
      </c>
      <c r="B11" s="3" t="s">
        <v>102</v>
      </c>
      <c r="C11" s="3" t="s">
        <v>103</v>
      </c>
      <c r="D11" s="3" t="s">
        <v>628</v>
      </c>
      <c r="E11" s="3" t="s">
        <v>547</v>
      </c>
      <c r="F11" s="3" t="s">
        <v>548</v>
      </c>
      <c r="G11" s="3" t="s">
        <v>104</v>
      </c>
      <c r="H11" s="3" t="s">
        <v>629</v>
      </c>
      <c r="I11" s="3" t="s">
        <v>630</v>
      </c>
      <c r="J11" s="3" t="s">
        <v>631</v>
      </c>
      <c r="K11" s="3" t="s">
        <v>632</v>
      </c>
      <c r="L11" s="3" t="s">
        <v>633</v>
      </c>
      <c r="M11" s="3" t="s">
        <v>634</v>
      </c>
      <c r="N11" s="3" t="s">
        <v>635</v>
      </c>
      <c r="O11" s="3" t="s">
        <v>636</v>
      </c>
      <c r="P11" s="3" t="s">
        <v>24</v>
      </c>
      <c r="Q11" s="3"/>
      <c r="R11" s="3"/>
      <c r="S11" s="3"/>
    </row>
    <row r="12" customFormat="false" ht="240" hidden="false" customHeight="true" outlineLevel="0" collapsed="false">
      <c r="A12" s="3" t="n">
        <v>11</v>
      </c>
      <c r="B12" s="3" t="s">
        <v>112</v>
      </c>
      <c r="C12" s="3" t="s">
        <v>113</v>
      </c>
      <c r="D12" s="3" t="s">
        <v>637</v>
      </c>
      <c r="E12" s="3" t="s">
        <v>547</v>
      </c>
      <c r="F12" s="3" t="s">
        <v>548</v>
      </c>
      <c r="G12" s="3" t="s">
        <v>114</v>
      </c>
      <c r="H12" s="3" t="s">
        <v>638</v>
      </c>
      <c r="I12" s="3" t="s">
        <v>639</v>
      </c>
      <c r="J12" s="3" t="s">
        <v>640</v>
      </c>
      <c r="K12" s="3" t="s">
        <v>641</v>
      </c>
      <c r="L12" s="3" t="s">
        <v>642</v>
      </c>
      <c r="M12" s="3" t="s">
        <v>599</v>
      </c>
      <c r="N12" s="3" t="s">
        <v>643</v>
      </c>
      <c r="O12" s="3" t="s">
        <v>644</v>
      </c>
      <c r="P12" s="3" t="s">
        <v>24</v>
      </c>
      <c r="Q12" s="3"/>
      <c r="R12" s="3"/>
      <c r="S12" s="3"/>
    </row>
    <row r="13" customFormat="false" ht="240" hidden="false" customHeight="true" outlineLevel="0" collapsed="false">
      <c r="A13" s="3" t="n">
        <v>12</v>
      </c>
      <c r="B13" s="3" t="s">
        <v>121</v>
      </c>
      <c r="C13" s="3" t="s">
        <v>122</v>
      </c>
      <c r="D13" s="3" t="s">
        <v>645</v>
      </c>
      <c r="E13" s="3" t="s">
        <v>547</v>
      </c>
      <c r="F13" s="3" t="s">
        <v>548</v>
      </c>
      <c r="G13" s="3" t="s">
        <v>123</v>
      </c>
      <c r="H13" s="3" t="s">
        <v>646</v>
      </c>
      <c r="I13" s="3"/>
      <c r="J13" s="3" t="s">
        <v>647</v>
      </c>
      <c r="K13" s="3" t="s">
        <v>648</v>
      </c>
      <c r="L13" s="3" t="s">
        <v>649</v>
      </c>
      <c r="M13" s="3" t="s">
        <v>650</v>
      </c>
      <c r="N13" s="3" t="s">
        <v>651</v>
      </c>
      <c r="O13" s="3" t="s">
        <v>652</v>
      </c>
      <c r="P13" s="3" t="s">
        <v>24</v>
      </c>
      <c r="Q13" s="3"/>
      <c r="R13" s="3"/>
      <c r="S13" s="3"/>
    </row>
    <row r="14" customFormat="false" ht="240" hidden="false" customHeight="true" outlineLevel="0" collapsed="false">
      <c r="A14" s="3" t="n">
        <v>13</v>
      </c>
      <c r="B14" s="3" t="s">
        <v>131</v>
      </c>
      <c r="C14" s="3" t="s">
        <v>132</v>
      </c>
      <c r="D14" s="3" t="s">
        <v>653</v>
      </c>
      <c r="E14" s="3" t="s">
        <v>547</v>
      </c>
      <c r="F14" s="3" t="s">
        <v>548</v>
      </c>
      <c r="G14" s="3" t="s">
        <v>133</v>
      </c>
      <c r="H14" s="3" t="s">
        <v>654</v>
      </c>
      <c r="I14" s="3" t="s">
        <v>655</v>
      </c>
      <c r="J14" s="3" t="s">
        <v>656</v>
      </c>
      <c r="K14" s="3" t="s">
        <v>657</v>
      </c>
      <c r="L14" s="3" t="s">
        <v>658</v>
      </c>
      <c r="M14" s="3" t="s">
        <v>659</v>
      </c>
      <c r="N14" s="3" t="s">
        <v>660</v>
      </c>
      <c r="O14" s="3" t="s">
        <v>661</v>
      </c>
      <c r="P14" s="3" t="s">
        <v>24</v>
      </c>
      <c r="Q14" s="3"/>
      <c r="R14" s="3"/>
      <c r="S14" s="3"/>
    </row>
    <row r="15" customFormat="false" ht="240" hidden="false" customHeight="true" outlineLevel="0" collapsed="false">
      <c r="A15" s="3" t="n">
        <v>14</v>
      </c>
      <c r="B15" s="3" t="s">
        <v>141</v>
      </c>
      <c r="C15" s="3" t="s">
        <v>142</v>
      </c>
      <c r="D15" s="3" t="s">
        <v>662</v>
      </c>
      <c r="E15" s="3" t="s">
        <v>547</v>
      </c>
      <c r="F15" s="3" t="s">
        <v>548</v>
      </c>
      <c r="G15" s="3" t="s">
        <v>143</v>
      </c>
      <c r="H15" s="3" t="s">
        <v>663</v>
      </c>
      <c r="I15" s="3"/>
      <c r="J15" s="3" t="s">
        <v>664</v>
      </c>
      <c r="K15" s="3" t="s">
        <v>665</v>
      </c>
      <c r="L15" s="3" t="s">
        <v>666</v>
      </c>
      <c r="M15" s="3" t="s">
        <v>667</v>
      </c>
      <c r="N15" s="3" t="s">
        <v>668</v>
      </c>
      <c r="O15" s="3" t="s">
        <v>669</v>
      </c>
      <c r="P15" s="3" t="s">
        <v>24</v>
      </c>
      <c r="Q15" s="3"/>
      <c r="R15" s="3"/>
      <c r="S15" s="3"/>
    </row>
    <row r="16" customFormat="false" ht="240" hidden="false" customHeight="true" outlineLevel="0" collapsed="false">
      <c r="A16" s="3" t="n">
        <v>15</v>
      </c>
      <c r="B16" s="3" t="s">
        <v>150</v>
      </c>
      <c r="C16" s="3" t="s">
        <v>151</v>
      </c>
      <c r="D16" s="3" t="s">
        <v>670</v>
      </c>
      <c r="E16" s="3" t="s">
        <v>547</v>
      </c>
      <c r="F16" s="3" t="s">
        <v>548</v>
      </c>
      <c r="G16" s="3" t="s">
        <v>152</v>
      </c>
      <c r="H16" s="3" t="s">
        <v>671</v>
      </c>
      <c r="I16" s="3" t="s">
        <v>672</v>
      </c>
      <c r="J16" s="3" t="s">
        <v>673</v>
      </c>
      <c r="K16" s="3" t="s">
        <v>674</v>
      </c>
      <c r="L16" s="3" t="s">
        <v>675</v>
      </c>
      <c r="M16" s="3" t="s">
        <v>599</v>
      </c>
      <c r="N16" s="3" t="s">
        <v>676</v>
      </c>
      <c r="O16" s="3" t="s">
        <v>677</v>
      </c>
      <c r="P16" s="3" t="s">
        <v>24</v>
      </c>
      <c r="Q16" s="3"/>
      <c r="R16" s="3"/>
      <c r="S16" s="3"/>
    </row>
    <row r="17" customFormat="false" ht="240" hidden="false" customHeight="true" outlineLevel="0" collapsed="false">
      <c r="A17" s="3" t="n">
        <v>16</v>
      </c>
      <c r="B17" s="3" t="s">
        <v>159</v>
      </c>
      <c r="C17" s="3" t="s">
        <v>160</v>
      </c>
      <c r="D17" s="3" t="s">
        <v>678</v>
      </c>
      <c r="E17" s="3" t="s">
        <v>547</v>
      </c>
      <c r="F17" s="3" t="s">
        <v>548</v>
      </c>
      <c r="G17" s="3" t="s">
        <v>161</v>
      </c>
      <c r="H17" s="3" t="s">
        <v>679</v>
      </c>
      <c r="I17" s="3" t="s">
        <v>680</v>
      </c>
      <c r="J17" s="3" t="s">
        <v>681</v>
      </c>
      <c r="K17" s="3" t="s">
        <v>682</v>
      </c>
      <c r="L17" s="3" t="s">
        <v>683</v>
      </c>
      <c r="M17" s="3" t="s">
        <v>684</v>
      </c>
      <c r="N17" s="3" t="s">
        <v>685</v>
      </c>
      <c r="O17" s="3" t="s">
        <v>686</v>
      </c>
      <c r="P17" s="3" t="s">
        <v>24</v>
      </c>
      <c r="Q17" s="3"/>
      <c r="R17" s="3"/>
      <c r="S17" s="3"/>
    </row>
    <row r="18" customFormat="false" ht="240" hidden="false" customHeight="true" outlineLevel="0" collapsed="false">
      <c r="A18" s="3" t="n">
        <v>17</v>
      </c>
      <c r="B18" s="3" t="s">
        <v>169</v>
      </c>
      <c r="C18" s="3" t="s">
        <v>170</v>
      </c>
      <c r="D18" s="3" t="s">
        <v>687</v>
      </c>
      <c r="E18" s="3" t="s">
        <v>547</v>
      </c>
      <c r="F18" s="3" t="s">
        <v>548</v>
      </c>
      <c r="G18" s="3" t="s">
        <v>171</v>
      </c>
      <c r="H18" s="3" t="s">
        <v>688</v>
      </c>
      <c r="I18" s="3"/>
      <c r="J18" s="3" t="s">
        <v>689</v>
      </c>
      <c r="K18" s="3" t="s">
        <v>690</v>
      </c>
      <c r="L18" s="3" t="s">
        <v>599</v>
      </c>
      <c r="M18" s="3" t="s">
        <v>691</v>
      </c>
      <c r="N18" s="3" t="s">
        <v>692</v>
      </c>
      <c r="O18" s="3" t="s">
        <v>693</v>
      </c>
      <c r="P18" s="3" t="s">
        <v>24</v>
      </c>
      <c r="Q18" s="3"/>
      <c r="R18" s="3"/>
      <c r="S18" s="3"/>
    </row>
    <row r="19" customFormat="false" ht="240" hidden="false" customHeight="true" outlineLevel="0" collapsed="false">
      <c r="A19" s="3" t="n">
        <v>18</v>
      </c>
      <c r="B19" s="3" t="s">
        <v>177</v>
      </c>
      <c r="C19" s="3" t="s">
        <v>178</v>
      </c>
      <c r="D19" s="3" t="s">
        <v>694</v>
      </c>
      <c r="E19" s="3" t="s">
        <v>547</v>
      </c>
      <c r="F19" s="3" t="s">
        <v>548</v>
      </c>
      <c r="G19" s="3" t="s">
        <v>179</v>
      </c>
      <c r="H19" s="3" t="s">
        <v>695</v>
      </c>
      <c r="I19" s="3" t="s">
        <v>696</v>
      </c>
      <c r="J19" s="3" t="s">
        <v>697</v>
      </c>
      <c r="K19" s="3" t="s">
        <v>698</v>
      </c>
      <c r="L19" s="3" t="s">
        <v>699</v>
      </c>
      <c r="M19" s="3" t="s">
        <v>700</v>
      </c>
      <c r="N19" s="3" t="s">
        <v>701</v>
      </c>
      <c r="O19" s="3" t="s">
        <v>702</v>
      </c>
      <c r="P19" s="3" t="s">
        <v>24</v>
      </c>
      <c r="Q19" s="3"/>
      <c r="R19" s="3"/>
      <c r="S19" s="3"/>
    </row>
    <row r="20" customFormat="false" ht="240" hidden="false" customHeight="true" outlineLevel="0" collapsed="false">
      <c r="A20" s="3" t="n">
        <v>19</v>
      </c>
      <c r="B20" s="3" t="s">
        <v>187</v>
      </c>
      <c r="C20" s="3" t="s">
        <v>188</v>
      </c>
      <c r="D20" s="3" t="s">
        <v>703</v>
      </c>
      <c r="E20" s="3" t="s">
        <v>547</v>
      </c>
      <c r="F20" s="3" t="s">
        <v>548</v>
      </c>
      <c r="G20" s="3" t="s">
        <v>189</v>
      </c>
      <c r="H20" s="3" t="s">
        <v>704</v>
      </c>
      <c r="I20" s="3" t="s">
        <v>705</v>
      </c>
      <c r="J20" s="3" t="s">
        <v>706</v>
      </c>
      <c r="K20" s="3" t="s">
        <v>707</v>
      </c>
      <c r="L20" s="3" t="s">
        <v>708</v>
      </c>
      <c r="M20" s="3" t="s">
        <v>709</v>
      </c>
      <c r="N20" s="3" t="s">
        <v>710</v>
      </c>
      <c r="O20" s="3" t="s">
        <v>711</v>
      </c>
      <c r="P20" s="3" t="s">
        <v>24</v>
      </c>
      <c r="Q20" s="3"/>
      <c r="R20" s="3"/>
      <c r="S20" s="3"/>
    </row>
    <row r="21" customFormat="false" ht="240" hidden="false" customHeight="true" outlineLevel="0" collapsed="false">
      <c r="A21" s="3" t="n">
        <v>20</v>
      </c>
      <c r="B21" s="3" t="s">
        <v>197</v>
      </c>
      <c r="C21" s="3" t="s">
        <v>198</v>
      </c>
      <c r="D21" s="3" t="s">
        <v>712</v>
      </c>
      <c r="E21" s="3" t="s">
        <v>547</v>
      </c>
      <c r="F21" s="3" t="s">
        <v>548</v>
      </c>
      <c r="G21" s="3" t="s">
        <v>199</v>
      </c>
      <c r="H21" s="3" t="s">
        <v>713</v>
      </c>
      <c r="I21" s="3" t="s">
        <v>714</v>
      </c>
      <c r="J21" s="3" t="s">
        <v>715</v>
      </c>
      <c r="K21" s="3" t="s">
        <v>716</v>
      </c>
      <c r="L21" s="3" t="s">
        <v>717</v>
      </c>
      <c r="M21" s="3" t="s">
        <v>718</v>
      </c>
      <c r="N21" s="3" t="s">
        <v>719</v>
      </c>
      <c r="O21" s="3" t="s">
        <v>720</v>
      </c>
      <c r="P21" s="3" t="s">
        <v>24</v>
      </c>
      <c r="Q21" s="3"/>
      <c r="R21" s="3"/>
      <c r="S21" s="3"/>
    </row>
    <row r="22" customFormat="false" ht="240" hidden="false" customHeight="true" outlineLevel="0" collapsed="false">
      <c r="A22" s="3" t="n">
        <v>21</v>
      </c>
      <c r="B22" s="3" t="s">
        <v>207</v>
      </c>
      <c r="C22" s="3" t="s">
        <v>208</v>
      </c>
      <c r="D22" s="3" t="s">
        <v>721</v>
      </c>
      <c r="E22" s="3" t="s">
        <v>547</v>
      </c>
      <c r="F22" s="3" t="s">
        <v>548</v>
      </c>
      <c r="G22" s="3" t="s">
        <v>209</v>
      </c>
      <c r="H22" s="3" t="s">
        <v>722</v>
      </c>
      <c r="I22" s="3" t="s">
        <v>723</v>
      </c>
      <c r="J22" s="3" t="s">
        <v>724</v>
      </c>
      <c r="K22" s="3" t="s">
        <v>725</v>
      </c>
      <c r="L22" s="3" t="s">
        <v>726</v>
      </c>
      <c r="M22" s="3" t="s">
        <v>727</v>
      </c>
      <c r="N22" s="3" t="s">
        <v>728</v>
      </c>
      <c r="O22" s="3" t="s">
        <v>729</v>
      </c>
      <c r="P22" s="3" t="s">
        <v>24</v>
      </c>
      <c r="Q22" s="3"/>
      <c r="R22" s="3"/>
      <c r="S22" s="3"/>
    </row>
    <row r="23" customFormat="false" ht="240" hidden="false" customHeight="true" outlineLevel="0" collapsed="false">
      <c r="A23" s="3" t="n">
        <v>22</v>
      </c>
      <c r="B23" s="3" t="s">
        <v>217</v>
      </c>
      <c r="C23" s="3" t="s">
        <v>218</v>
      </c>
      <c r="D23" s="3" t="s">
        <v>730</v>
      </c>
      <c r="E23" s="3" t="s">
        <v>547</v>
      </c>
      <c r="F23" s="3" t="s">
        <v>548</v>
      </c>
      <c r="G23" s="3" t="s">
        <v>219</v>
      </c>
      <c r="H23" s="3" t="s">
        <v>731</v>
      </c>
      <c r="I23" s="3" t="s">
        <v>732</v>
      </c>
      <c r="J23" s="3" t="s">
        <v>733</v>
      </c>
      <c r="K23" s="3" t="s">
        <v>734</v>
      </c>
      <c r="L23" s="3" t="s">
        <v>735</v>
      </c>
      <c r="M23" s="3" t="s">
        <v>736</v>
      </c>
      <c r="N23" s="3" t="s">
        <v>737</v>
      </c>
      <c r="O23" s="3" t="s">
        <v>738</v>
      </c>
      <c r="P23" s="3" t="s">
        <v>24</v>
      </c>
      <c r="Q23" s="3"/>
      <c r="R23" s="3"/>
      <c r="S23" s="3"/>
    </row>
    <row r="24" customFormat="false" ht="240" hidden="false" customHeight="true" outlineLevel="0" collapsed="false">
      <c r="A24" s="3" t="n">
        <v>23</v>
      </c>
      <c r="B24" s="3" t="s">
        <v>227</v>
      </c>
      <c r="C24" s="3" t="s">
        <v>228</v>
      </c>
      <c r="D24" s="3" t="s">
        <v>739</v>
      </c>
      <c r="E24" s="3" t="s">
        <v>547</v>
      </c>
      <c r="F24" s="3" t="s">
        <v>548</v>
      </c>
      <c r="G24" s="3" t="s">
        <v>229</v>
      </c>
      <c r="H24" s="3" t="s">
        <v>740</v>
      </c>
      <c r="I24" s="3" t="s">
        <v>741</v>
      </c>
      <c r="J24" s="3" t="s">
        <v>742</v>
      </c>
      <c r="K24" s="3" t="s">
        <v>743</v>
      </c>
      <c r="L24" s="3" t="s">
        <v>744</v>
      </c>
      <c r="M24" s="3" t="s">
        <v>745</v>
      </c>
      <c r="N24" s="3" t="s">
        <v>746</v>
      </c>
      <c r="O24" s="3" t="s">
        <v>747</v>
      </c>
      <c r="P24" s="3" t="s">
        <v>24</v>
      </c>
      <c r="Q24" s="3"/>
      <c r="R24" s="3"/>
      <c r="S24" s="3"/>
    </row>
    <row r="25" customFormat="false" ht="240" hidden="false" customHeight="true" outlineLevel="0" collapsed="false">
      <c r="A25" s="3" t="n">
        <v>24</v>
      </c>
      <c r="B25" s="3" t="s">
        <v>237</v>
      </c>
      <c r="C25" s="3" t="s">
        <v>238</v>
      </c>
      <c r="D25" s="3" t="s">
        <v>748</v>
      </c>
      <c r="E25" s="3" t="s">
        <v>547</v>
      </c>
      <c r="F25" s="3" t="s">
        <v>548</v>
      </c>
      <c r="G25" s="3" t="s">
        <v>239</v>
      </c>
      <c r="H25" s="3" t="s">
        <v>749</v>
      </c>
      <c r="I25" s="3" t="s">
        <v>750</v>
      </c>
      <c r="J25" s="3" t="s">
        <v>751</v>
      </c>
      <c r="K25" s="3" t="s">
        <v>752</v>
      </c>
      <c r="L25" s="3" t="s">
        <v>753</v>
      </c>
      <c r="M25" s="3" t="s">
        <v>754</v>
      </c>
      <c r="N25" s="3" t="s">
        <v>755</v>
      </c>
      <c r="O25" s="3" t="s">
        <v>756</v>
      </c>
      <c r="P25" s="3" t="s">
        <v>24</v>
      </c>
      <c r="Q25" s="3"/>
      <c r="R25" s="3"/>
      <c r="S25" s="3"/>
    </row>
    <row r="26" customFormat="false" ht="240" hidden="false" customHeight="true" outlineLevel="0" collapsed="false">
      <c r="A26" s="3" t="n">
        <v>25</v>
      </c>
      <c r="B26" s="3" t="s">
        <v>247</v>
      </c>
      <c r="C26" s="3" t="s">
        <v>248</v>
      </c>
      <c r="D26" s="3" t="s">
        <v>757</v>
      </c>
      <c r="E26" s="3" t="s">
        <v>547</v>
      </c>
      <c r="F26" s="3" t="s">
        <v>548</v>
      </c>
      <c r="G26" s="3" t="s">
        <v>249</v>
      </c>
      <c r="H26" s="3" t="s">
        <v>758</v>
      </c>
      <c r="I26" s="3" t="s">
        <v>759</v>
      </c>
      <c r="J26" s="3" t="s">
        <v>760</v>
      </c>
      <c r="K26" s="3" t="s">
        <v>761</v>
      </c>
      <c r="L26" s="3" t="s">
        <v>762</v>
      </c>
      <c r="M26" s="3" t="s">
        <v>599</v>
      </c>
      <c r="N26" s="3" t="s">
        <v>763</v>
      </c>
      <c r="O26" s="3" t="s">
        <v>764</v>
      </c>
      <c r="P26" s="3" t="s">
        <v>24</v>
      </c>
      <c r="Q26" s="3"/>
      <c r="R26" s="3"/>
      <c r="S26" s="3"/>
    </row>
  </sheetData>
  <autoFilter ref="A1:S26"/>
  <dataValidations count="1">
    <dataValidation allowBlank="false" errorStyle="stop" operator="between" showDropDown="false" showErrorMessage="false" showInputMessage="false" sqref="P2:P26" type="list">
      <formula1>"OPEN,AGREED,CHANGE REQUESTED,REJECTED,CLARIFY WITH EXTERNAL"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45"/>
    <col collapsed="false" customWidth="true" hidden="false" outlineLevel="0" max="3" min="3" style="1" width="30"/>
    <col collapsed="false" customWidth="true" hidden="false" outlineLevel="0" max="4" min="4" style="1" width="70"/>
    <col collapsed="false" customWidth="true" hidden="false" outlineLevel="0" max="6" min="5" style="1" width="12"/>
  </cols>
  <sheetData>
    <row r="1" customFormat="false" ht="15" hidden="false" customHeight="true" outlineLevel="0" collapsed="false">
      <c r="A1" s="6" t="s">
        <v>0</v>
      </c>
      <c r="B1" s="6" t="s">
        <v>2</v>
      </c>
      <c r="C1" s="6" t="s">
        <v>765</v>
      </c>
      <c r="D1" s="6" t="s">
        <v>766</v>
      </c>
      <c r="E1" s="6" t="s">
        <v>11</v>
      </c>
      <c r="F1" s="6" t="s">
        <v>13</v>
      </c>
    </row>
    <row r="2" customFormat="false" ht="15" hidden="false" customHeight="true" outlineLevel="0" collapsed="false">
      <c r="A2" s="3" t="s">
        <v>767</v>
      </c>
      <c r="B2" s="3" t="s">
        <v>768</v>
      </c>
      <c r="C2" s="3" t="s">
        <v>769</v>
      </c>
      <c r="D2" s="3" t="s">
        <v>770</v>
      </c>
      <c r="E2" s="3" t="s">
        <v>24</v>
      </c>
      <c r="F2" s="3"/>
    </row>
    <row r="3" customFormat="false" ht="15" hidden="false" customHeight="true" outlineLevel="0" collapsed="false">
      <c r="A3" s="3" t="s">
        <v>771</v>
      </c>
      <c r="B3" s="3" t="s">
        <v>772</v>
      </c>
      <c r="C3" s="3" t="s">
        <v>773</v>
      </c>
      <c r="D3" s="3" t="s">
        <v>774</v>
      </c>
      <c r="E3" s="3" t="s">
        <v>24</v>
      </c>
      <c r="F3" s="3"/>
    </row>
    <row r="4" customFormat="false" ht="15" hidden="false" customHeight="true" outlineLevel="0" collapsed="false">
      <c r="A4" s="3" t="s">
        <v>775</v>
      </c>
      <c r="B4" s="3" t="s">
        <v>776</v>
      </c>
      <c r="C4" s="3" t="s">
        <v>777</v>
      </c>
      <c r="D4" s="3" t="s">
        <v>778</v>
      </c>
      <c r="E4" s="3" t="s">
        <v>24</v>
      </c>
      <c r="F4" s="3"/>
    </row>
    <row r="5" customFormat="false" ht="15" hidden="false" customHeight="true" outlineLevel="0" collapsed="false">
      <c r="A5" s="3" t="s">
        <v>779</v>
      </c>
      <c r="B5" s="3" t="s">
        <v>780</v>
      </c>
      <c r="C5" s="3" t="s">
        <v>781</v>
      </c>
      <c r="D5" s="3" t="s">
        <v>782</v>
      </c>
      <c r="E5" s="3" t="s">
        <v>24</v>
      </c>
      <c r="F5" s="3"/>
    </row>
    <row r="6" customFormat="false" ht="21.75" hidden="false" customHeight="true" outlineLevel="0" collapsed="false">
      <c r="A6" s="3" t="s">
        <v>783</v>
      </c>
      <c r="B6" s="3" t="s">
        <v>784</v>
      </c>
      <c r="C6" s="3" t="s">
        <v>785</v>
      </c>
      <c r="D6" s="3" t="s">
        <v>786</v>
      </c>
      <c r="E6" s="3" t="s">
        <v>24</v>
      </c>
      <c r="F6" s="3"/>
    </row>
    <row r="7" customFormat="false" ht="15" hidden="false" customHeight="true" outlineLevel="0" collapsed="false">
      <c r="A7" s="3" t="s">
        <v>787</v>
      </c>
      <c r="B7" s="3" t="s">
        <v>788</v>
      </c>
      <c r="C7" s="3" t="s">
        <v>789</v>
      </c>
      <c r="D7" s="3" t="s">
        <v>790</v>
      </c>
      <c r="E7" s="3" t="s">
        <v>24</v>
      </c>
      <c r="F7" s="3"/>
    </row>
    <row r="8" customFormat="false" ht="15" hidden="false" customHeight="true" outlineLevel="0" collapsed="false">
      <c r="A8" s="3" t="s">
        <v>791</v>
      </c>
      <c r="B8" s="3" t="s">
        <v>792</v>
      </c>
      <c r="C8" s="3" t="s">
        <v>793</v>
      </c>
      <c r="D8" s="3" t="s">
        <v>794</v>
      </c>
      <c r="E8" s="3" t="s">
        <v>24</v>
      </c>
      <c r="F8" s="3"/>
    </row>
    <row r="9" customFormat="false" ht="15" hidden="false" customHeight="true" outlineLevel="0" collapsed="false">
      <c r="A9" s="3" t="s">
        <v>795</v>
      </c>
      <c r="B9" s="3" t="s">
        <v>796</v>
      </c>
      <c r="C9" s="3" t="s">
        <v>797</v>
      </c>
      <c r="D9" s="3" t="s">
        <v>798</v>
      </c>
      <c r="E9" s="3" t="s">
        <v>24</v>
      </c>
      <c r="F9" s="3"/>
    </row>
    <row r="10" customFormat="false" ht="15" hidden="false" customHeight="true" outlineLevel="0" collapsed="false">
      <c r="A10" s="3" t="s">
        <v>799</v>
      </c>
      <c r="B10" s="3" t="s">
        <v>800</v>
      </c>
      <c r="C10" s="3" t="s">
        <v>801</v>
      </c>
      <c r="D10" s="3" t="s">
        <v>802</v>
      </c>
      <c r="E10" s="3" t="s">
        <v>24</v>
      </c>
      <c r="F10" s="3"/>
    </row>
  </sheetData>
  <dataValidations count="1">
    <dataValidation allowBlank="false" errorStyle="stop" operator="between" showDropDown="false" showErrorMessage="false" showInputMessage="false" sqref="E2:E10" type="list">
      <formula1>"OPEN,AGREED,CHANGE REQUESTED,REJECTED"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40"/>
    <col collapsed="false" customWidth="true" hidden="false" outlineLevel="0" max="3" min="3" style="1" width="80"/>
    <col collapsed="false" customWidth="true" hidden="false" outlineLevel="0" max="4" min="4" style="1" width="34"/>
  </cols>
  <sheetData>
    <row r="1" customFormat="false" ht="17.25" hidden="false" customHeight="true" outlineLevel="0" collapsed="false">
      <c r="A1" s="7" t="s">
        <v>803</v>
      </c>
    </row>
    <row r="2" customFormat="false" ht="15" hidden="false" customHeight="true" outlineLevel="0" collapsed="false">
      <c r="A2" s="8" t="s">
        <v>804</v>
      </c>
    </row>
    <row r="4" customFormat="false" ht="15" hidden="false" customHeight="true" outlineLevel="0" collapsed="false">
      <c r="A4" s="2" t="s">
        <v>805</v>
      </c>
      <c r="B4" s="2" t="s">
        <v>806</v>
      </c>
      <c r="C4" s="2" t="s">
        <v>807</v>
      </c>
      <c r="D4" s="2" t="s">
        <v>808</v>
      </c>
    </row>
    <row r="5" customFormat="false" ht="15" hidden="false" customHeight="true" outlineLevel="0" collapsed="false">
      <c r="A5" s="9" t="s">
        <v>809</v>
      </c>
      <c r="B5" s="9" t="n">
        <f aca="false">COUNTA(Review!B2:B26)</f>
        <v>25</v>
      </c>
      <c r="C5" s="9" t="n">
        <f aca="false">COUNTA(Review!B28:B57)</f>
        <v>30</v>
      </c>
      <c r="D5" s="9" t="n">
        <f aca="false">B5+C5</f>
        <v>55</v>
      </c>
    </row>
    <row r="6" customFormat="false" ht="15" hidden="false" customHeight="true" outlineLevel="0" collapsed="false">
      <c r="A6" s="9" t="s">
        <v>810</v>
      </c>
      <c r="B6" s="9" t="n">
        <f aca="false">COUNTIF(Review!E2:E26,"&lt;&gt;-")</f>
        <v>23</v>
      </c>
      <c r="C6" s="9" t="n">
        <f aca="false">COUNTIF(Review!E28:E57,"&lt;&gt;-")</f>
        <v>28</v>
      </c>
      <c r="D6" s="9" t="n">
        <f aca="false">B6+C6</f>
        <v>51</v>
      </c>
    </row>
    <row r="7" customFormat="false" ht="15" hidden="false" customHeight="true" outlineLevel="0" collapsed="false">
      <c r="A7" s="9" t="s">
        <v>811</v>
      </c>
      <c r="B7" s="9" t="n">
        <f aca="false">COUNTIF(Review!F2:F26,"&lt;&gt;-")</f>
        <v>25</v>
      </c>
      <c r="C7" s="9" t="n">
        <f aca="false">COUNTIF(Review!F28:F57,"&lt;&gt;-")</f>
        <v>30</v>
      </c>
      <c r="D7" s="9" t="n">
        <f aca="false">B7+C7</f>
        <v>55</v>
      </c>
    </row>
    <row r="8" customFormat="false" ht="15" hidden="false" customHeight="true" outlineLevel="0" collapsed="false">
      <c r="A8" s="9" t="s">
        <v>812</v>
      </c>
      <c r="B8" s="9" t="n">
        <f aca="false">COUNTIF(Review!G2:G26,"&lt;&gt;-")</f>
        <v>25</v>
      </c>
      <c r="C8" s="9" t="n">
        <f aca="false">COUNTIF(Review!G28:G57,"&lt;&gt;-")</f>
        <v>30</v>
      </c>
      <c r="D8" s="9" t="n">
        <f aca="false">B8+C8</f>
        <v>55</v>
      </c>
    </row>
    <row r="9" customFormat="false" ht="15" hidden="false" customHeight="true" outlineLevel="0" collapsed="false">
      <c r="A9" s="9" t="s">
        <v>813</v>
      </c>
      <c r="B9" s="9" t="n">
        <f aca="false">COUNTIF(Review!H2:H26,"&lt;&gt;-")</f>
        <v>23</v>
      </c>
      <c r="C9" s="9" t="n">
        <f aca="false">COUNTIF(Review!H28:H57,"&lt;&gt;-")</f>
        <v>28</v>
      </c>
      <c r="D9" s="9" t="n">
        <f aca="false">B9+C9</f>
        <v>51</v>
      </c>
    </row>
    <row r="10" customFormat="false" ht="15" hidden="false" customHeight="true" outlineLevel="0" collapsed="false">
      <c r="A10" s="9" t="s">
        <v>814</v>
      </c>
      <c r="B10" s="9" t="n">
        <f aca="false">COUNTIF(Review!I2:I26,"&lt;&gt;-")</f>
        <v>19</v>
      </c>
      <c r="C10" s="9" t="n">
        <f aca="false">COUNTIF(Review!I28:I57,"&lt;&gt;-")</f>
        <v>29</v>
      </c>
      <c r="D10" s="9" t="n">
        <f aca="false">B10+C10</f>
        <v>48</v>
      </c>
    </row>
    <row r="11" customFormat="false" ht="15" hidden="false" customHeight="true" outlineLevel="0" collapsed="false">
      <c r="A11" s="9" t="s">
        <v>815</v>
      </c>
      <c r="B11" s="9" t="n">
        <f aca="false">COUNTIF(Review!J2:J26,"&lt;&gt;-")</f>
        <v>25</v>
      </c>
      <c r="C11" s="9" t="n">
        <f aca="false">COUNTIF(Review!J28:J57,"&lt;&gt;-")</f>
        <v>30</v>
      </c>
      <c r="D11" s="9" t="n">
        <f aca="false">B11+C11</f>
        <v>55</v>
      </c>
    </row>
    <row r="12" customFormat="false" ht="15" hidden="false" customHeight="true" outlineLevel="0" collapsed="false">
      <c r="A12" s="9" t="s">
        <v>816</v>
      </c>
      <c r="B12" s="9" t="n">
        <f aca="false">COUNTIF(Review!E2:J26,"*SWE:*")</f>
        <v>9</v>
      </c>
      <c r="C12" s="9" t="n">
        <f aca="false">COUNTIF(Review!E28:J57,"*SWE:*")</f>
        <v>9</v>
      </c>
      <c r="D12" s="9" t="n">
        <f aca="false">B12+C12</f>
        <v>18</v>
      </c>
    </row>
    <row r="13" customFormat="false" ht="15" hidden="false" customHeight="true" outlineLevel="0" collapsed="false">
      <c r="A13" s="9" t="s">
        <v>817</v>
      </c>
      <c r="B13" s="9" t="n">
        <f aca="false">COUNTIF(Review!L2:L26,"OPEN")</f>
        <v>25</v>
      </c>
      <c r="C13" s="9" t="n">
        <f aca="false">COUNTIF(Review!L28:L57,"OPEN")</f>
        <v>30</v>
      </c>
      <c r="D13" s="9" t="n">
        <f aca="false">B13+C13</f>
        <v>55</v>
      </c>
    </row>
    <row r="15" customFormat="false" ht="15" hidden="false" customHeight="true" outlineLevel="0" collapsed="false">
      <c r="A15" s="10" t="s">
        <v>818</v>
      </c>
    </row>
    <row r="16" customFormat="false" ht="15" hidden="false" customHeight="true" outlineLevel="0" collapsed="false">
      <c r="A16" s="2" t="s">
        <v>819</v>
      </c>
      <c r="B16" s="2" t="s">
        <v>820</v>
      </c>
      <c r="C16" s="2" t="s">
        <v>821</v>
      </c>
      <c r="D16" s="2" t="s">
        <v>822</v>
      </c>
    </row>
    <row r="17" customFormat="false" ht="61.5" hidden="false" customHeight="true" outlineLevel="0" collapsed="false">
      <c r="A17" s="9" t="s">
        <v>823</v>
      </c>
      <c r="B17" s="9" t="s">
        <v>824</v>
      </c>
      <c r="C17" s="9" t="s">
        <v>825</v>
      </c>
      <c r="D17" s="9" t="s">
        <v>826</v>
      </c>
    </row>
    <row r="18" customFormat="false" ht="61.5" hidden="false" customHeight="true" outlineLevel="0" collapsed="false">
      <c r="A18" s="9" t="s">
        <v>827</v>
      </c>
      <c r="B18" s="9" t="s">
        <v>828</v>
      </c>
      <c r="C18" s="9" t="s">
        <v>829</v>
      </c>
      <c r="D18" s="9" t="s">
        <v>826</v>
      </c>
    </row>
    <row r="19" customFormat="false" ht="61.5" hidden="false" customHeight="true" outlineLevel="0" collapsed="false">
      <c r="A19" s="9" t="s">
        <v>830</v>
      </c>
      <c r="B19" s="9" t="s">
        <v>831</v>
      </c>
      <c r="C19" s="9" t="s">
        <v>832</v>
      </c>
      <c r="D19" s="9" t="s">
        <v>826</v>
      </c>
    </row>
    <row r="20" customFormat="false" ht="61.5" hidden="false" customHeight="true" outlineLevel="0" collapsed="false">
      <c r="A20" s="9" t="s">
        <v>833</v>
      </c>
      <c r="B20" s="9" t="s">
        <v>834</v>
      </c>
      <c r="C20" s="9" t="s">
        <v>835</v>
      </c>
      <c r="D20" s="9" t="s">
        <v>826</v>
      </c>
    </row>
    <row r="21" customFormat="false" ht="61.5" hidden="false" customHeight="true" outlineLevel="0" collapsed="false">
      <c r="A21" s="9" t="s">
        <v>836</v>
      </c>
      <c r="B21" s="9" t="s">
        <v>837</v>
      </c>
      <c r="C21" s="9" t="s">
        <v>838</v>
      </c>
      <c r="D21" s="9" t="s">
        <v>839</v>
      </c>
    </row>
    <row r="22" customFormat="false" ht="61.5" hidden="false" customHeight="true" outlineLevel="0" collapsed="false">
      <c r="A22" s="9" t="s">
        <v>840</v>
      </c>
      <c r="B22" s="9" t="s">
        <v>841</v>
      </c>
      <c r="C22" s="9" t="s">
        <v>842</v>
      </c>
      <c r="D22" s="9" t="s">
        <v>826</v>
      </c>
    </row>
    <row r="23" customFormat="false" ht="61.5" hidden="false" customHeight="true" outlineLevel="0" collapsed="false">
      <c r="A23" s="9" t="s">
        <v>843</v>
      </c>
      <c r="B23" s="9" t="s">
        <v>844</v>
      </c>
      <c r="C23" s="9" t="s">
        <v>845</v>
      </c>
      <c r="D23" s="9" t="s">
        <v>846</v>
      </c>
    </row>
    <row r="24" customFormat="false" ht="61.5" hidden="false" customHeight="true" outlineLevel="0" collapsed="false">
      <c r="A24" s="9" t="s">
        <v>847</v>
      </c>
      <c r="B24" s="9" t="s">
        <v>848</v>
      </c>
      <c r="C24" s="9" t="s">
        <v>849</v>
      </c>
      <c r="D24" s="9" t="s">
        <v>826</v>
      </c>
    </row>
    <row r="25" customFormat="false" ht="61.5" hidden="false" customHeight="true" outlineLevel="0" collapsed="false">
      <c r="A25" s="9" t="s">
        <v>850</v>
      </c>
      <c r="B25" s="9" t="s">
        <v>851</v>
      </c>
      <c r="C25" s="9" t="s">
        <v>852</v>
      </c>
      <c r="D25" s="9" t="s">
        <v>853</v>
      </c>
    </row>
    <row r="26" customFormat="false" ht="61.5" hidden="false" customHeight="true" outlineLevel="0" collapsed="false">
      <c r="A26" s="9" t="s">
        <v>854</v>
      </c>
      <c r="B26" s="9" t="s">
        <v>855</v>
      </c>
      <c r="C26" s="9" t="s">
        <v>856</v>
      </c>
      <c r="D26" s="9" t="s">
        <v>826</v>
      </c>
    </row>
    <row r="27" customFormat="false" ht="61.5" hidden="false" customHeight="true" outlineLevel="0" collapsed="false">
      <c r="A27" s="9" t="s">
        <v>857</v>
      </c>
      <c r="B27" s="9" t="s">
        <v>858</v>
      </c>
      <c r="C27" s="9" t="s">
        <v>859</v>
      </c>
      <c r="D27" s="9" t="s">
        <v>826</v>
      </c>
    </row>
    <row r="28" customFormat="false" ht="61.5" hidden="false" customHeight="true" outlineLevel="0" collapsed="false">
      <c r="A28" s="9" t="s">
        <v>860</v>
      </c>
      <c r="B28" s="9" t="s">
        <v>861</v>
      </c>
      <c r="C28" s="9" t="s">
        <v>862</v>
      </c>
      <c r="D28" s="9" t="s">
        <v>846</v>
      </c>
    </row>
    <row r="29" customFormat="false" ht="61.5" hidden="false" customHeight="true" outlineLevel="0" collapsed="false">
      <c r="A29" s="9" t="s">
        <v>863</v>
      </c>
      <c r="B29" s="9" t="s">
        <v>864</v>
      </c>
      <c r="C29" s="9" t="s">
        <v>865</v>
      </c>
      <c r="D29" s="9" t="s">
        <v>826</v>
      </c>
    </row>
    <row r="30" customFormat="false" ht="61.5" hidden="false" customHeight="true" outlineLevel="0" collapsed="false">
      <c r="A30" s="9" t="s">
        <v>866</v>
      </c>
      <c r="B30" s="9" t="s">
        <v>867</v>
      </c>
      <c r="C30" s="9" t="s">
        <v>868</v>
      </c>
      <c r="D30" s="9" t="s">
        <v>826</v>
      </c>
    </row>
    <row r="31" customFormat="false" ht="61.5" hidden="false" customHeight="true" outlineLevel="0" collapsed="false">
      <c r="A31" s="9" t="s">
        <v>869</v>
      </c>
      <c r="B31" s="9" t="s">
        <v>801</v>
      </c>
      <c r="C31" s="9" t="s">
        <v>870</v>
      </c>
      <c r="D31" s="9" t="s">
        <v>871</v>
      </c>
    </row>
    <row r="33" customFormat="false" ht="15" hidden="false" customHeight="true" outlineLevel="0" collapsed="false">
      <c r="A33" s="10" t="s">
        <v>872</v>
      </c>
    </row>
    <row r="34" customFormat="false" ht="15" hidden="false" customHeight="true" outlineLevel="0" collapsed="false">
      <c r="A34" s="2" t="s">
        <v>873</v>
      </c>
      <c r="B34" s="2" t="s">
        <v>874</v>
      </c>
      <c r="C34" s="2" t="s">
        <v>875</v>
      </c>
      <c r="D34" s="2" t="s">
        <v>876</v>
      </c>
    </row>
    <row r="35" customFormat="false" ht="15" hidden="false" customHeight="true" outlineLevel="0" collapsed="false">
      <c r="A35" s="9" t="s">
        <v>25</v>
      </c>
      <c r="B35" s="9" t="s">
        <v>877</v>
      </c>
      <c r="C35" s="9" t="s">
        <v>878</v>
      </c>
      <c r="D35" s="9" t="s">
        <v>879</v>
      </c>
    </row>
    <row r="36" customFormat="false" ht="15" hidden="false" customHeight="true" outlineLevel="0" collapsed="false">
      <c r="A36" s="9" t="s">
        <v>35</v>
      </c>
      <c r="B36" s="9" t="s">
        <v>880</v>
      </c>
      <c r="C36" s="9" t="s">
        <v>881</v>
      </c>
      <c r="D36" s="9" t="s">
        <v>879</v>
      </c>
    </row>
    <row r="37" customFormat="false" ht="15" hidden="false" customHeight="true" outlineLevel="0" collapsed="false">
      <c r="A37" s="9" t="s">
        <v>45</v>
      </c>
      <c r="B37" s="9" t="s">
        <v>882</v>
      </c>
      <c r="C37" s="9" t="s">
        <v>883</v>
      </c>
      <c r="D37" s="9" t="s">
        <v>879</v>
      </c>
    </row>
    <row r="38" customFormat="false" ht="15" hidden="false" customHeight="true" outlineLevel="0" collapsed="false">
      <c r="A38" s="9" t="s">
        <v>65</v>
      </c>
      <c r="B38" s="9" t="s">
        <v>884</v>
      </c>
      <c r="C38" s="9" t="s">
        <v>885</v>
      </c>
      <c r="D38" s="9" t="s">
        <v>879</v>
      </c>
    </row>
    <row r="39" customFormat="false" ht="23.25" hidden="false" customHeight="true" outlineLevel="0" collapsed="false">
      <c r="A39" s="9" t="s">
        <v>112</v>
      </c>
      <c r="B39" s="9" t="s">
        <v>886</v>
      </c>
      <c r="C39" s="9" t="s">
        <v>887</v>
      </c>
      <c r="D39" s="9" t="s">
        <v>879</v>
      </c>
    </row>
    <row r="40" customFormat="false" ht="15" hidden="false" customHeight="true" outlineLevel="0" collapsed="false">
      <c r="A40" s="9" t="s">
        <v>121</v>
      </c>
      <c r="B40" s="9" t="s">
        <v>888</v>
      </c>
      <c r="C40" s="9" t="s">
        <v>889</v>
      </c>
      <c r="D40" s="9" t="s">
        <v>879</v>
      </c>
    </row>
    <row r="41" customFormat="false" ht="15" hidden="false" customHeight="true" outlineLevel="0" collapsed="false">
      <c r="A41" s="9" t="s">
        <v>187</v>
      </c>
      <c r="B41" s="9" t="s">
        <v>890</v>
      </c>
      <c r="C41" s="9" t="s">
        <v>891</v>
      </c>
      <c r="D41" s="9" t="s">
        <v>879</v>
      </c>
    </row>
    <row r="42" customFormat="false" ht="15" hidden="false" customHeight="true" outlineLevel="0" collapsed="false">
      <c r="A42" s="9" t="s">
        <v>207</v>
      </c>
      <c r="B42" s="9" t="s">
        <v>892</v>
      </c>
      <c r="C42" s="9" t="s">
        <v>893</v>
      </c>
      <c r="D42" s="9" t="s">
        <v>879</v>
      </c>
    </row>
    <row r="43" customFormat="false" ht="15" hidden="false" customHeight="true" outlineLevel="0" collapsed="false">
      <c r="A43" s="9" t="s">
        <v>237</v>
      </c>
      <c r="B43" s="9" t="s">
        <v>894</v>
      </c>
      <c r="C43" s="9" t="s">
        <v>895</v>
      </c>
      <c r="D43" s="9" t="s">
        <v>879</v>
      </c>
    </row>
    <row r="44" customFormat="false" ht="15" hidden="false" customHeight="true" outlineLevel="0" collapsed="false">
      <c r="A44" s="9" t="s">
        <v>278</v>
      </c>
      <c r="B44" s="9" t="s">
        <v>877</v>
      </c>
      <c r="C44" s="9" t="s">
        <v>896</v>
      </c>
      <c r="D44" s="9" t="s">
        <v>897</v>
      </c>
    </row>
    <row r="45" customFormat="false" ht="15" hidden="false" customHeight="true" outlineLevel="0" collapsed="false">
      <c r="A45" s="9" t="s">
        <v>287</v>
      </c>
      <c r="B45" s="9" t="s">
        <v>898</v>
      </c>
      <c r="C45" s="9" t="s">
        <v>881</v>
      </c>
      <c r="D45" s="9" t="s">
        <v>897</v>
      </c>
    </row>
    <row r="46" customFormat="false" ht="15" hidden="false" customHeight="true" outlineLevel="0" collapsed="false">
      <c r="A46" s="9" t="s">
        <v>296</v>
      </c>
      <c r="B46" s="9" t="s">
        <v>882</v>
      </c>
      <c r="C46" s="9" t="s">
        <v>883</v>
      </c>
      <c r="D46" s="9" t="s">
        <v>897</v>
      </c>
    </row>
    <row r="47" customFormat="false" ht="15" hidden="false" customHeight="true" outlineLevel="0" collapsed="false">
      <c r="A47" s="9" t="s">
        <v>316</v>
      </c>
      <c r="B47" s="9" t="s">
        <v>884</v>
      </c>
      <c r="C47" s="9" t="s">
        <v>885</v>
      </c>
      <c r="D47" s="9" t="s">
        <v>897</v>
      </c>
    </row>
    <row r="48" customFormat="false" ht="23.25" hidden="false" customHeight="true" outlineLevel="0" collapsed="false">
      <c r="A48" s="9" t="s">
        <v>372</v>
      </c>
      <c r="B48" s="9" t="s">
        <v>899</v>
      </c>
      <c r="C48" s="9" t="s">
        <v>887</v>
      </c>
      <c r="D48" s="9" t="s">
        <v>897</v>
      </c>
    </row>
    <row r="49" customFormat="false" ht="15" hidden="false" customHeight="true" outlineLevel="0" collapsed="false">
      <c r="A49" s="9" t="s">
        <v>381</v>
      </c>
      <c r="B49" s="9" t="s">
        <v>888</v>
      </c>
      <c r="C49" s="9" t="s">
        <v>889</v>
      </c>
      <c r="D49" s="9" t="s">
        <v>897</v>
      </c>
    </row>
    <row r="50" customFormat="false" ht="23.25" hidden="false" customHeight="true" outlineLevel="0" collapsed="false">
      <c r="A50" s="9" t="s">
        <v>440</v>
      </c>
      <c r="B50" s="9" t="s">
        <v>900</v>
      </c>
      <c r="C50" s="9" t="s">
        <v>901</v>
      </c>
      <c r="D50" s="9" t="s">
        <v>897</v>
      </c>
    </row>
    <row r="51" customFormat="false" ht="15" hidden="false" customHeight="true" outlineLevel="0" collapsed="false">
      <c r="A51" s="9" t="s">
        <v>483</v>
      </c>
      <c r="B51" s="9" t="s">
        <v>902</v>
      </c>
      <c r="C51" s="9" t="s">
        <v>893</v>
      </c>
      <c r="D51" s="9" t="s">
        <v>897</v>
      </c>
    </row>
    <row r="52" customFormat="false" ht="15" hidden="false" customHeight="true" outlineLevel="0" collapsed="false">
      <c r="A52" s="9" t="s">
        <v>512</v>
      </c>
      <c r="B52" s="9" t="s">
        <v>903</v>
      </c>
      <c r="C52" s="9" t="s">
        <v>895</v>
      </c>
      <c r="D52" s="9" t="s">
        <v>897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2026-10-15T12:00:26Z</dcterms:created>
  <dc:creator>openpyxl</dc:creator>
  <dc:description/>
  <dc:language>en-US</dc:language>
  <cp:lastModifiedBy/>
  <dcterms:modified xsi:type="dcterms:W3CDTF">2026-10-15T13:25:56Z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