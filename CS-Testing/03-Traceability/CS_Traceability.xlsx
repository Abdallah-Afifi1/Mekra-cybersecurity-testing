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RS ch23" sheetId="2" state="visible" r:id="rId4"/>
    <sheet name="Concept" sheetId="3" state="visible" r:id="rId5"/>
    <sheet name="Technical" sheetId="4" state="visible" r:id="rId6"/>
    <sheet name="Template" sheetId="5" state="visible" r:id="rId7"/>
  </sheets>
  <definedNames>
    <definedName function="false" hidden="true" localSheetId="2" name="_xlnm._FilterDatabase" vbProcedure="false">Concept!$A$1:$M$42</definedName>
    <definedName function="false" hidden="true" localSheetId="1" name="_xlnm._FilterDatabase" vbProcedure="false">'SRS ch23'!$A$1:$J$250</definedName>
    <definedName function="false" hidden="true" localSheetId="3" name="_xlnm._FilterDatabase" vbProcedure="false">Technical!$A$1:$M$31</definedName>
    <definedName function="false" hidden="true" localSheetId="4" name="_xlnm._FilterDatabase" vbProcedure="false">Template!$A$1:$J$1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<sst xmlns="http://schemas.openxmlformats.org/spreadsheetml/2006/main" count="2555" uniqueCount="1164">
  <si>
    <t xml:space="preserve">Cybersecurity test traceability: summary</t>
  </si>
  <si>
    <t xml:space="preserve">All counts are formulas over the other sheets. Update the "Test status" column there (drop-down) and the numbers here follow.</t>
  </si>
  <si>
    <t xml:space="preserve">Sheet</t>
  </si>
  <si>
    <t xml:space="preserve">Source</t>
  </si>
  <si>
    <t xml:space="preserve">Requirements</t>
  </si>
  <si>
    <t xml:space="preserve">Not started</t>
  </si>
  <si>
    <t xml:space="preserve">Designed</t>
  </si>
  <si>
    <t xml:space="preserve">Implemented</t>
  </si>
  <si>
    <t xml:space="preserve">Passed</t>
  </si>
  <si>
    <t xml:space="preserve">Failed</t>
  </si>
  <si>
    <t xml:space="preserve">Blocked</t>
  </si>
  <si>
    <t xml:space="preserve">SRS ch23</t>
  </si>
  <si>
    <t xml:space="preserve">SRS rev. 731696, chapter 23 (Draft)</t>
  </si>
  <si>
    <t xml:space="preserve">Concept</t>
  </si>
  <si>
    <t xml:space="preserve">Cybersecurity Concept (Polarion, readyForReview)</t>
  </si>
  <si>
    <t xml:space="preserve">Technical</t>
  </si>
  <si>
    <t xml:space="preserve">Technical Cybersecurity Concept (Polarion, readyForReview)</t>
  </si>
  <si>
    <t xml:space="preserve">Total</t>
  </si>
  <si>
    <t xml:space="preserve">SRS chapter 23 by security domain</t>
  </si>
  <si>
    <t xml:space="preserve">Security domain</t>
  </si>
  <si>
    <t xml:space="preserve">With open [X] choice</t>
  </si>
  <si>
    <t xml:space="preserve">Without verification criteria</t>
  </si>
  <si>
    <t xml:space="preserve">DTLS 1.3 link: SOW2-Vehicle ECU</t>
  </si>
  <si>
    <t xml:space="preserve">SOW2-SOW1 (camera) auth &amp; video</t>
  </si>
  <si>
    <t xml:space="preserve">Secure debug</t>
  </si>
  <si>
    <t xml:space="preserve">SPI flash secure interface</t>
  </si>
  <si>
    <t xml:space="preserve">DRAM secure interface</t>
  </si>
  <si>
    <t xml:space="preserve">Req ID</t>
  </si>
  <si>
    <t xml:space="preserve">Section</t>
  </si>
  <si>
    <t xml:space="preserve">Requirement (SOW2 SW, B-Sample SRS)</t>
  </si>
  <si>
    <t xml:space="preserve">Status</t>
  </si>
  <si>
    <t xml:space="preserve">Verification criteria (from SRS)</t>
  </si>
  <si>
    <t xml:space="preserve">CS test case ID(s)</t>
  </si>
  <si>
    <t xml:space="preserve">Test level</t>
  </si>
  <si>
    <t xml:space="preserve">Test status</t>
  </si>
  <si>
    <t xml:space="preserve">Notes</t>
  </si>
  <si>
    <t xml:space="preserve">MVC-107801</t>
  </si>
  <si>
    <t xml:space="preserve">23.1.1.1 PSK Loading</t>
  </si>
  <si>
    <t xml:space="preserve">The software shall retrieve the configured PSK from secure storage before initiating the DTLS 1.3 handshake.</t>
  </si>
  <si>
    <t xml:space="preserve">Draft</t>
  </si>
  <si>
    <t xml:space="preserve">Verify that the PSK is retrieved before transmission of the ClientHello message. Verify that handshake establishment is aborted if PSK retrieval fails.</t>
  </si>
  <si>
    <t xml:space="preserve">MVC-107804</t>
  </si>
  <si>
    <t xml:space="preserve">The software shall retrieve the configured PSK identity associated with the communication interface before initiating the DTLS handshake.</t>
  </si>
  <si>
    <t xml:space="preserve">Verify that the configured PSK identity is available before the ClientHello message is transmitted. Verify that handshake establishment is rejected when no valid PSK identity exists.</t>
  </si>
  <si>
    <t xml:space="preserve">MVC-107803</t>
  </si>
  <si>
    <t xml:space="preserve">The software shall use the provisioned unique PSK associated with the configured SOW2–Vehicle ECU pairing during DTLS handshake key derivation.</t>
  </si>
  <si>
    <t xml:space="preserve">MVC-107805</t>
  </si>
  <si>
    <t xml:space="preserve">The software shall ensure that the retrieved PSK remains within the secure cryptographic boundary throughout the handshake process.</t>
  </si>
  <si>
    <t xml:space="preserve">Verify that the PSK is never exposed outside the configured secure cryptographic boundary.</t>
  </si>
  <si>
    <t xml:space="preserve">MVC-107796</t>
  </si>
  <si>
    <t xml:space="preserve">23.1.1.2 Random Generation</t>
  </si>
  <si>
    <t xml:space="preserve">The software shall obtain random values required for DTLS cryptographic operations from a Cryptographically Secure Pseudo-Random Number Generator (CSPRNG) seeded by the hardware TRNG.</t>
  </si>
  <si>
    <t xml:space="preserve">Verify that random values are obtained from the approved random generation mechanism.</t>
  </si>
  <si>
    <t xml:space="preserve">MVC-107795</t>
  </si>
  <si>
    <t xml:space="preserve">The software shall generate a new DTLS Client Random value for every DTLS handshake before transmitting the ClientHello message.</t>
  </si>
  <si>
    <t xml:space="preserve">Verify that a Client Random value is generated before the ClientHello message is transmitted.</t>
  </si>
  <si>
    <t xml:space="preserve">MVC-107798</t>
  </si>
  <si>
    <t xml:space="preserve">The software shall not reuse a previously generated Client Random value for any subsequent DTLS handshake.</t>
  </si>
  <si>
    <t xml:space="preserve">Verify that a unique Client Random value is generated for every handshake. Verify that previously generated Client Random values are not reused.</t>
  </si>
  <si>
    <t xml:space="preserve">MVC-107797</t>
  </si>
  <si>
    <t xml:space="preserve">The software shall prevent reuse of random values across independent DTLS sessions.</t>
  </si>
  <si>
    <t xml:space="preserve">Verify that random values are unique for independent DTLS sessions. Verify that DTLS processing is terminated when random number generation fails.</t>
  </si>
  <si>
    <t xml:space="preserve">MVC-107807</t>
  </si>
  <si>
    <t xml:space="preserve">23.1.1.3 Ephemeral ECDHE Generation</t>
  </si>
  <si>
    <t xml:space="preserve">The software shall generate a new ephemeral ECDHE key pair before constructing the ClientHello message.</t>
  </si>
  <si>
    <t xml:space="preserve">Verify that a new ECDHE key pair is generated for every handshake.</t>
  </si>
  <si>
    <t xml:space="preserve">MVC-107811</t>
  </si>
  <si>
    <t xml:space="preserve">The software shall generate the ephemeral ECDHE key pair using the configured secp256r1 (P-256) named group.</t>
  </si>
  <si>
    <t xml:space="preserve">MVC-107809</t>
  </si>
  <si>
    <t xml:space="preserve">The software shall ensure that the generated ephemeral ECDHE key pair is associated only with the current DTLS handshake and not reuse an ephemeral ECDHE private key or its corresponding public key for any subsequent DTLS handshake.</t>
  </si>
  <si>
    <t xml:space="preserve">Verify that the corresponding public key is included in the DTLS key_share extension. Verify that each DTLS handshake uses a unique ephemeral ECDHE key pair. Verify that previously generated ephemeral ECDHE key pairs are never reused.</t>
  </si>
  <si>
    <t xml:space="preserve">MVC-107812</t>
  </si>
  <si>
    <t xml:space="preserve">The software shall ensure that the ephemeral ECDHE private key remains within the configured secure cryptographic boundary throughout the DTLS handshake.</t>
  </si>
  <si>
    <t xml:space="preserve">Verify that the ephemeral private key remains protected within the secure cryptographic boundary.</t>
  </si>
  <si>
    <t xml:space="preserve">MVC-107813</t>
  </si>
  <si>
    <t xml:space="preserve">23.1.2 ClientHello Construction</t>
  </si>
  <si>
    <t xml:space="preserve">The software shall operate as the DTLS 1.3 Client for the SOW2–Vehicle ECU secure communication interface.</t>
  </si>
  <si>
    <t xml:space="preserve">Verify that SOW2 initiates the DTLS handshake as the DTLS Client.</t>
  </si>
  <si>
    <t xml:space="preserve">MVC-107806</t>
  </si>
  <si>
    <t xml:space="preserve">The software shall include DTLS 1.3 as the supported protocol version in the supported_versions extension in the ClientHello message.</t>
  </si>
  <si>
    <t xml:space="preserve">Verify that the ClientHello advertises DTLS 1.3. Verify that the handshake is terminated if DTLS 1.3 is not negotiated.</t>
  </si>
  <si>
    <t xml:space="preserve">MVC-107821</t>
  </si>
  <si>
    <t xml:space="preserve">The software shall include only supported DTLS 1.3 AEAD cipher suites in the ClientHello message.</t>
  </si>
  <si>
    <t xml:space="preserve">Verify that only configured cipher suites are advertised.</t>
  </si>
  <si>
    <t xml:space="preserve">MVC-107819</t>
  </si>
  <si>
    <t xml:space="preserve">The software shall include TLS_AES_128_GCM_SHA256 in the ClientHello message as a supported cipher suite for DTLS session establishment with the Vehicle ECU.</t>
  </si>
  <si>
    <t xml:space="preserve">Verify that TLS_AES_128_GCM_SHA256 is advertised</t>
  </si>
  <si>
    <t xml:space="preserve">MVC-107825</t>
  </si>
  <si>
    <t xml:space="preserve">The software shall advertise the configured PSK-DHE key exchange mode with psk_dhe_ke in the ClientHello message.</t>
  </si>
  <si>
    <t xml:space="preserve">Verify that the ClientHello advertises the configured PSK-DHE key exchange mode. Verify that unauthorized key exchange modes are not advertised. Verify that handshake establishment fails when the negotiated key exchange mode differs from the configured mode.</t>
  </si>
  <si>
    <t xml:space="preserve">MVC-107823</t>
  </si>
  <si>
    <t xml:space="preserve">The software shall encode the configured PSK identity using the configured identity format, encoding, and length before including it in the pre_shared_key extension of the ClientHello message.</t>
  </si>
  <si>
    <t xml:space="preserve">MVC-107816</t>
  </si>
  <si>
    <t xml:space="preserve">The software shall include the generated ephemeral ECDHE public key in the DTLS key_share extension of the ClientHello message.</t>
  </si>
  <si>
    <t xml:space="preserve">Verify that the generated ECDHE public key is included in the key_share extension. Verify that the transmitted public key corresponds to the generated key pair. Verify that only the public key is transmitted.</t>
  </si>
  <si>
    <t xml:space="preserve">MVC-107815</t>
  </si>
  <si>
    <t xml:space="preserve">The software shall terminate the DTLS handshake if the generated ECDHE public key cannot be included in the key_share extension.</t>
  </si>
  <si>
    <t xml:space="preserve">Verify that the handshake is terminated if the key_share extension cannot be generated.</t>
  </si>
  <si>
    <t xml:space="preserve">MVC-107818</t>
  </si>
  <si>
    <t xml:space="preserve">The software shall include the generated ClientRandom value in the ClientHello message</t>
  </si>
  <si>
    <t xml:space="preserve">MVC-107817</t>
  </si>
  <si>
    <t xml:space="preserve">The software shall maintain the DTLS handshake transcript from the ClientHello until handshake completion by appending handshake messages in the order transmitted or successfully received.</t>
  </si>
  <si>
    <t xml:space="preserve">MVC-107810</t>
  </si>
  <si>
    <t xml:space="preserve">23.1.3 HelloRetryRequest</t>
  </si>
  <si>
    <t xml:space="preserve">The software shall maintain a retransmission buffer for transmitted DTLS handshake records until acknowledgement is received or retransmission is no longer required.</t>
  </si>
  <si>
    <t xml:space="preserve">Verify that transmitted handshake records are retained in the retransmission buffer until acknowledged or no longer required.</t>
  </si>
  <si>
    <t xml:space="preserve">MVC-107822</t>
  </si>
  <si>
    <t xml:space="preserve">The software shall start a retransmission timer after transmitting each DTLS handshake flight requiring acknowledgement.</t>
  </si>
  <si>
    <t xml:space="preserve">Verify that the retransmission timer starts after transmission of a handshake flight requiring acknowledgement.</t>
  </si>
  <si>
    <t xml:space="preserve">MVC-107820</t>
  </si>
  <si>
    <t xml:space="preserve">The software shall retransmit unacknowledged DTLS handshake records when the retransmission timer expires.</t>
  </si>
  <si>
    <t xml:space="preserve">Verify that unacknowledged handshake records are retransmitted after retransmission timeout expiration.</t>
  </si>
  <si>
    <t xml:space="preserve">MVC-107826</t>
  </si>
  <si>
    <t xml:space="preserve">The software shall apply the configured retransmission timeout, timeout backoff policy, maximum retransmission attempts, and handshake timeout during retransmission processing.</t>
  </si>
  <si>
    <t xml:space="preserve">Verify that the configured timeout, timeout backoff policy, retry limit, and handshake timeout are applied during retransmission processing.</t>
  </si>
  <si>
    <t xml:space="preserve">MVC-107824</t>
  </si>
  <si>
    <t xml:space="preserve">The software shall terminate the DTLS handshake if the configured handshake timeout expires or the maximum retransmission attempts are exceeded.</t>
  </si>
  <si>
    <t xml:space="preserve">Verify that the DTLS handshake is terminated when the configured retry limit or handshake timeout is exceeded.</t>
  </si>
  <si>
    <t xml:space="preserve">MVC-107964</t>
  </si>
  <si>
    <t xml:space="preserve">23.1.4 ServerHello Validation</t>
  </si>
  <si>
    <t xml:space="preserve">The software shall validate in ServerHello: the selected PSK identity received from the Vehicle ECU against the configured PSK identity. the selected cipher suite matches one of the configured supported cipher suites. the selected key exchange mode matches the configured PSK-DHE mode. the Vehicle ECU ECDHE public key before computing the shared secret.</t>
  </si>
  <si>
    <t xml:space="preserve">MVC-107969</t>
  </si>
  <si>
    <t xml:space="preserve">The software shall verify that the cipher suite selected by the Vehicle ECU is one of the advertised and configured cipher suites.</t>
  </si>
  <si>
    <t xml:space="preserve">Verify that deprecated or unauthorized cipher suites are not advertised. Verify that the handshake is terminated when an unauthorized cipher suite is negotiated.</t>
  </si>
  <si>
    <t xml:space="preserve">MVC-107968</t>
  </si>
  <si>
    <t xml:space="preserve">The software shall terminate the DTLS handshake if the Vehicle ECU selects a cipher suite that was not advertised or is not supported.</t>
  </si>
  <si>
    <t xml:space="preserve">MVC-107971</t>
  </si>
  <si>
    <t xml:space="preserve">The software shall terminate the DTLS handshake if any mandatory ServerHello validation fails.</t>
  </si>
  <si>
    <t xml:space="preserve">MVC-107970</t>
  </si>
  <si>
    <t xml:space="preserve">The software shall record a DTLS handshake failure in the security log when protocol version negotiation fails due to an unsupported or unauthorized protocol version.</t>
  </si>
  <si>
    <t xml:space="preserve">Verify generation of a security event for protocol version negotiation failure like recording.</t>
  </si>
  <si>
    <t xml:space="preserve">MVC-107993</t>
  </si>
  <si>
    <t xml:space="preserve">23.1.5 Secret Derivation</t>
  </si>
  <si>
    <t xml:space="preserve">The software shall compute the ECDHE shared secret using the locally generated ECDHE private key and the validated Vehicle ECU public key.</t>
  </si>
  <si>
    <t xml:space="preserve">Verify successful shared secret generation. Verify that shared secret generation fails when public key validation fails.</t>
  </si>
  <si>
    <t xml:space="preserve">MVC-107991</t>
  </si>
  <si>
    <t xml:space="preserve">The software shall derive the DTLS handshake secrets using the configured PSK, the ECDHE shared secret, and the DTLS handshake transcript before processing encrypted handshake messages.</t>
  </si>
  <si>
    <t xml:space="preserve">Verify successful handshake secret derivation. Verify that derivation fails when any required input is invalid. Verify that encrypted handshake messages are processed only after handshake traffic secrets are derived.</t>
  </si>
  <si>
    <t xml:space="preserve">MVC-107982</t>
  </si>
  <si>
    <t xml:space="preserve">The software shall derive the DTLS handshake write keys, write IVs, and sequence number encryption keys from the handshake traffic secrets.</t>
  </si>
  <si>
    <t xml:space="preserve">MVC-107995</t>
  </si>
  <si>
    <t xml:space="preserve">23.1.6 EncryptedExtensions</t>
  </si>
  <si>
    <t xml:space="preserve">The software shall receive the DTLS EncryptedExtensions message after successful derivation of the server handshake traffic keys.</t>
  </si>
  <si>
    <t xml:space="preserve">Verify that the software processes the EncryptedExtensions message only after the server handshake traffic keys have been derived.</t>
  </si>
  <si>
    <t xml:space="preserve">MVC-107994</t>
  </si>
  <si>
    <t xml:space="preserve">The software shall decrypt the received EncryptedExtensions message using the server handshake traffic keys before processing its contents.</t>
  </si>
  <si>
    <t xml:space="preserve">Verify that the software decrypts the EncryptedExtensions message using the server handshake traffic keys. Verify that the software validates the decrypted EncryptedExtensions message before continuing the DTLS handshake.</t>
  </si>
  <si>
    <t xml:space="preserve">MVC-107980</t>
  </si>
  <si>
    <t xml:space="preserve">The software shall terminate the DTLS handshake if the EncryptedExtensions message cannot be successfully decrypted or validated.</t>
  </si>
  <si>
    <t xml:space="preserve">Verify that the DTLS handshake is terminated if EncryptedExtensions decryption or validation fails.</t>
  </si>
  <si>
    <t xml:space="preserve">MVC-107977</t>
  </si>
  <si>
    <t xml:space="preserve">23.1.7 Server Finished Verification</t>
  </si>
  <si>
    <t xml:space="preserve">The software shall receive and process the encrypted Finished message transmitted by the Vehicle ECU after successful completion of the preceding DTLS handshake messages.</t>
  </si>
  <si>
    <t xml:space="preserve">Verify that the encrypted Finished message is processed only after the required handshake secrets have been successfully derived. Verify successful decryption of a valid Finished message. Verify rejection when decryption fails.</t>
  </si>
  <si>
    <t xml:space="preserve">MVC-107976</t>
  </si>
  <si>
    <t xml:space="preserve">The software shall decrypt the received Finished message using the derived server handshake traffic keys before performing verification.</t>
  </si>
  <si>
    <t xml:space="preserve">Verify that the DTLS handshake is terminated when Finished message decryption fails.</t>
  </si>
  <si>
    <t xml:space="preserve">MVC-107973</t>
  </si>
  <si>
    <t xml:space="preserve">The software shall ensure that the verification confirms that the Vehicle ECU successfully derived the same DTLS handshake secrets and processed the same handshake messages.</t>
  </si>
  <si>
    <t xml:space="preserve">Verify that the DTLS handshake is terminated when Finished message verification fails.</t>
  </si>
  <si>
    <t xml:space="preserve">MVC-107972</t>
  </si>
  <si>
    <t xml:space="preserve">The software shall discard the received Finished message when decryption or verification fails and prevent establishment of the DTLS secure session.</t>
  </si>
  <si>
    <t xml:space="preserve">Verify that the secure session is not established following Finished message verification failure.</t>
  </si>
  <si>
    <t xml:space="preserve">MVC-107974</t>
  </si>
  <si>
    <t xml:space="preserve">The software shall return only a generic handshake failure indication to the communication peer and shall not disclose whether the failure was caused by decryption, integrity verification, authentication failure, or handshake transcript validation.</t>
  </si>
  <si>
    <t xml:space="preserve">Verify that only a generic handshake failure indication is returned to the communication peer. Verify that detailed failure information is not disclosed through the communication interface.</t>
  </si>
  <si>
    <t xml:space="preserve">MVC-107966</t>
  </si>
  <si>
    <t xml:space="preserve">23.1.8 Client Finished</t>
  </si>
  <si>
    <t xml:space="preserve">The software shall send the DTLS Finished message after successful verification of the Vehicle ECU Finished message.</t>
  </si>
  <si>
    <t xml:space="preserve">Verify that the DTLS Finished message is sent only after successful verification of the Vehicle ECU Finished message.</t>
  </si>
  <si>
    <t xml:space="preserve">MVC-107965</t>
  </si>
  <si>
    <t xml:space="preserve">The software shall protect the DTLS Finished message using the client handshake traffic keys.</t>
  </si>
  <si>
    <t xml:space="preserve">Verify that the DTLS Finished message is protected using the client handshake traffic keys.</t>
  </si>
  <si>
    <t xml:space="preserve">MVC-107990</t>
  </si>
  <si>
    <t xml:space="preserve">The software shall terminate the DTLS handshake if generation or transmission of the DTLS Finished message fails.</t>
  </si>
  <si>
    <t xml:space="preserve">Verify that the DTLS handshake is terminated if generation or transmission of the DTLS Finished message fails.</t>
  </si>
  <si>
    <t xml:space="preserve">MVC-107989</t>
  </si>
  <si>
    <t xml:space="preserve">The software shall wait for acknowledgement of the final DTLS handshake flight before considering the handshake successfully completed or shall retransmit the final handshake flight according to the configured retransmission procedure.</t>
  </si>
  <si>
    <t xml:space="preserve">MVC-107984</t>
  </si>
  <si>
    <t xml:space="preserve">23.1.9 Session Establishment</t>
  </si>
  <si>
    <t xml:space="preserve">The software shall establish the DTLS secure session only after successful exchange and verification of Finished messages.</t>
  </si>
  <si>
    <t xml:space="preserve">Verify that the secure session is established only after successful Finished message exchange. Verify that the secure session is not established when either Finished message verification fails.</t>
  </si>
  <si>
    <t xml:space="preserve">MVC-107983</t>
  </si>
  <si>
    <t xml:space="preserve">The software shall derive DTLS application traffic keys after successful completion of the DTLS handshake using the DTLS 1.3 HKDF-SHA256 key schedule.</t>
  </si>
  <si>
    <t xml:space="preserve">Verify that application traffic keys are derived only after successful handshake completion. Verify that application traffic keys are not derived following handshake failure.</t>
  </si>
  <si>
    <t xml:space="preserve">MVC-107987</t>
  </si>
  <si>
    <t xml:space="preserve">The software shall perform key derivation using the configured PSK, the ECDHE shared secret, and the DTLS handshake transcript.</t>
  </si>
  <si>
    <t xml:space="preserve">Verify that key derivation uses the configured PSK, ECDHE shared secret, and handshake transcript. Verify that DTLS processing is terminated when key derivation fails.</t>
  </si>
  <si>
    <t xml:space="preserve">MVC-107986</t>
  </si>
  <si>
    <t xml:space="preserve">The software shall derive the DTLS application write keys, write IVs, and sequence number encryption keys from the application traffic secrets after successful Finished verification.</t>
  </si>
  <si>
    <t xml:space="preserve">MVC-107979</t>
  </si>
  <si>
    <t xml:space="preserve">The software shall securely erase the ephemeral ECDHE private key after successful derivation of the DTLS session keys or upon termination of the DTLS handshake.</t>
  </si>
  <si>
    <t xml:space="preserve">Verify that the ephemeral private key is securely erased after session key derivation or handshake termination.</t>
  </si>
  <si>
    <t xml:space="preserve">MVC-107981</t>
  </si>
  <si>
    <t xml:space="preserve">The software shall enable protected SOME/IP communication and video streaming only after DTLS application traffic keys become available.</t>
  </si>
  <si>
    <t xml:space="preserve">Verify that protected communication is enabled only after application traffic keys are available. Verify that protected communication remains disabled when handshake completion fails.</t>
  </si>
  <si>
    <t xml:space="preserve">MVC-108000</t>
  </si>
  <si>
    <t xml:space="preserve">23.1.10 Application Data protection</t>
  </si>
  <si>
    <t xml:space="preserve">The software shall encapsulate application payloads within DTLS application records before applying DTLS record protection.</t>
  </si>
  <si>
    <t xml:space="preserve">MVC-107999</t>
  </si>
  <si>
    <t xml:space="preserve">The software shall use the active DTLS application write state, including the application write key, write IV, epoch, and send sequence number, for transmission of protected application records.</t>
  </si>
  <si>
    <t xml:space="preserve">MVC-108003</t>
  </si>
  <si>
    <t xml:space="preserve">The software shall encrypt all DTLS application records before transmission using the negotiated AES-GCM cipher suite using the active DTLS application traffic keys and ensure that plaintext application data is not transmitted after DTLS session establishment.</t>
  </si>
  <si>
    <t xml:space="preserve">Verify that AES-GCM encryption is applied to transmitted DTLS records. Verify that encryption uses the active application traffic keys.</t>
  </si>
  <si>
    <t xml:space="preserve">MVC-108002</t>
  </si>
  <si>
    <t xml:space="preserve">The software shall discard plaintext records received after establishment of the DTLS secure session.</t>
  </si>
  <si>
    <t xml:space="preserve">Verify that plaintext records are rejected after secure session establishment.</t>
  </si>
  <si>
    <t xml:space="preserve">MVC-108005</t>
  </si>
  <si>
    <t xml:space="preserve">The software shall decrypt received DTLS protected records using the negotiated DTLS application traffic keys.</t>
  </si>
  <si>
    <t xml:space="preserve">Verify successful decryption of valid protected DTLS records. Verify that unauthenticated application data is not delivered to upper software layers.</t>
  </si>
  <si>
    <t xml:space="preserve">MVC-108004</t>
  </si>
  <si>
    <t xml:space="preserve">The software shall verify the AEAD authentication tag before accepting the decrypted record.</t>
  </si>
  <si>
    <t xml:space="preserve">Verify authentication tag verification for every received protected record. Verify rejection of records with invalid authentication tags.</t>
  </si>
  <si>
    <t xml:space="preserve">MVC-107997</t>
  </si>
  <si>
    <t xml:space="preserve">The software shall accept Vehicle ECU application records only when they belong to the active authenticated DTLS session.</t>
  </si>
  <si>
    <t xml:space="preserve">MVC-108026</t>
  </si>
  <si>
    <t xml:space="preserve">23.1.10.1 Record Protection</t>
  </si>
  <si>
    <t xml:space="preserve">The software shall generate a unique IV/nonce for each AES-GCM encryption operation performed during an active DTLS session.</t>
  </si>
  <si>
    <t xml:space="preserve">Verify generation of a unique IV/nonce for each protected DTLS record.</t>
  </si>
  <si>
    <t xml:space="preserve">MVC-108024</t>
  </si>
  <si>
    <t xml:space="preserve">The software shall ensure that IV/nonce values are not reused with the same cryptographic key.</t>
  </si>
  <si>
    <t xml:space="preserve">Verify that IV/nonce values are not reused with the same application traffic key.</t>
  </si>
  <si>
    <t xml:space="preserve">MVC-108017</t>
  </si>
  <si>
    <t xml:space="preserve">The software shall terminate record protection processing if a valid IV/nonce cannot be generated.</t>
  </si>
  <si>
    <t xml:space="preserve">Verify that record protection fails when IV/nonce generation fails.</t>
  </si>
  <si>
    <t xml:space="preserve">MVC-108015</t>
  </si>
  <si>
    <t xml:space="preserve">The software shall prevent export of DTLS cryptographic key material outside the secure cryptographic boundary and prevent unauthorized software components from accessing DTLS cryptographic key material.</t>
  </si>
  <si>
    <t xml:space="preserve">MVC-108029</t>
  </si>
  <si>
    <t xml:space="preserve">23.1.10.2 Sequence Numbers</t>
  </si>
  <si>
    <t xml:space="preserve">The software shall maintain an independent DTLS record sequence number for each active DTLS session and initialize the DTLS record sequence number when a new DTLS session is established.</t>
  </si>
  <si>
    <t xml:space="preserve">MVC-108028</t>
  </si>
  <si>
    <t xml:space="preserve">The software shall assign a unique sequence number to every transmitted DTLS protected record.</t>
  </si>
  <si>
    <t xml:space="preserve">MVC-108014</t>
  </si>
  <si>
    <t xml:space="preserve">The software shall prevent reuse of DTLS record sequence numbers within the same DTLS session.</t>
  </si>
  <si>
    <t xml:space="preserve">Verify that sequence numbers are not reused within an active DTLS session.</t>
  </si>
  <si>
    <t xml:space="preserve">MVC-108011</t>
  </si>
  <si>
    <t xml:space="preserve">23.1.10.3 Anti-Replay</t>
  </si>
  <si>
    <t xml:space="preserve">The software shall maintain an anti-replay receive window for each active DTLS session.</t>
  </si>
  <si>
    <t xml:space="preserve">Verify that an independent anti-replay receive window is maintained for each active DTLS session.</t>
  </si>
  <si>
    <t xml:space="preserve">MVC-108010</t>
  </si>
  <si>
    <t xml:space="preserve">The software shall verify that the received DTLS record sequence number falls within the configured anti-replay receive window before accepting the record.</t>
  </si>
  <si>
    <t xml:space="preserve">Verify that received DTLS record sequence numbers are validated against the configured anti-replay receive window.</t>
  </si>
  <si>
    <t xml:space="preserve">MVC-108007</t>
  </si>
  <si>
    <t xml:space="preserve">The software shall reject duplicated DTLS records and records outside the configured anti-replay receive window.</t>
  </si>
  <si>
    <t xml:space="preserve">Verify that duplicated or out-of-window DTLS records are rejected.</t>
  </si>
  <si>
    <t xml:space="preserve">MVC-108006</t>
  </si>
  <si>
    <t xml:space="preserve">The software shall update the anti-replay receive window after successful acceptance of a DTLS record.</t>
  </si>
  <si>
    <t xml:space="preserve">Verify that the anti-replay receive window is updated after successful acceptance of a DTLS record.</t>
  </si>
  <si>
    <t xml:space="preserve">MVC-108012</t>
  </si>
  <si>
    <t xml:space="preserve">23.1.10.4 Record Size</t>
  </si>
  <si>
    <t xml:space="preserve">The software shall limit the DTLS application record payload size according to the configured DTLS record size and path MTU.</t>
  </si>
  <si>
    <t xml:space="preserve">Verify that DTLS application record payload size complies with the configured maximum DTLS record size and path MTU.</t>
  </si>
  <si>
    <t xml:space="preserve">MVC-108001</t>
  </si>
  <si>
    <t xml:space="preserve">The software shall prevent transmission of DTLS application records that exceed the configured runtime record size limits.</t>
  </si>
  <si>
    <t xml:space="preserve">Verify that transmission of DTLS application records exceeding the configured runtime record size limits is prevented.</t>
  </si>
  <si>
    <t xml:space="preserve">MVC-108022</t>
  </si>
  <si>
    <t xml:space="preserve">23.1.10.5 Freshness Protection</t>
  </si>
  <si>
    <t xml:space="preserve">The software shall generate the freshness value as either a monotonic counter or a timestamp in outgoing SOME/IP responses and streaming video frames</t>
  </si>
  <si>
    <t xml:space="preserve">Verify that a freshness value is included in outgoing SOME/IP responses and streaming video frames when required. Verify that the configured freshness mechanism (counter or timestamp) is used. Verify that transmission is prevented when freshness generation fails.</t>
  </si>
  <si>
    <t xml:space="preserve">MVC-108027</t>
  </si>
  <si>
    <t xml:space="preserve">The software shall ensure that freshness values are not reused within an active DTLS session.</t>
  </si>
  <si>
    <t xml:space="preserve">Verify that freshness values are not reused within an active DTLS session.</t>
  </si>
  <si>
    <t xml:space="preserve">MVC-108025</t>
  </si>
  <si>
    <t xml:space="preserve">The software shall verify the freshness value contained in received SOME/IP control messages and streaming video frames.</t>
  </si>
  <si>
    <t xml:space="preserve">Verify that freshness values are validated upon reception.</t>
  </si>
  <si>
    <t xml:space="preserve">MVC-108018</t>
  </si>
  <si>
    <t xml:space="preserve">The software shall verify that the received freshness value satisfies the configured ordering requirements and reject messages or streaming video frames whose freshness value is duplicated, expired, or outside the configured acceptance window.</t>
  </si>
  <si>
    <t xml:space="preserve">Verify rejection of duplicated freshness values. Verify rejection of expired or out-of-window freshness values.</t>
  </si>
  <si>
    <t xml:space="preserve">MVC-108016</t>
  </si>
  <si>
    <t xml:space="preserve">The software shall discard rejected messages or streaming video frames before delivery to the upper software layer and continue processing subsequent valid messages after rejecting an invalid freshness value.</t>
  </si>
  <si>
    <t xml:space="preserve">Verify that rejected messages are not delivered to the application. Verify that valid subsequent messages continue to be processed.</t>
  </si>
  <si>
    <t xml:space="preserve">MVC-108013</t>
  </si>
  <si>
    <t xml:space="preserve">23.1.11 DTLS Fragmentation</t>
  </si>
  <si>
    <t xml:space="preserve">The software shall fragment outgoing DTLS handshake messages that exceed the configured DTLS handshake record size or path MTU.</t>
  </si>
  <si>
    <t xml:space="preserve">Verify that DTLS handshake messages exceeding the configured record size or path MTU are fragmented before transmission.</t>
  </si>
  <si>
    <t xml:space="preserve">MVC-108036</t>
  </si>
  <si>
    <t xml:space="preserve">The software shall populate the DTLS handshake fragmentation fields, including fragment_offset and fragment_length, for each transmitted handshake fragment.</t>
  </si>
  <si>
    <t xml:space="preserve">Verify that fragment_offset and fragment_length are correctly populated for transmitted handshake fragments.</t>
  </si>
  <si>
    <t xml:space="preserve">MVC-108035</t>
  </si>
  <si>
    <t xml:space="preserve">The software shall reassemble fragmented DTLS handshake messages before performing handshake message processing.</t>
  </si>
  <si>
    <t xml:space="preserve">Verify that fragmented handshake messages are successfully reassembled before handshake processing.</t>
  </si>
  <si>
    <t xml:space="preserve">MVC-108038</t>
  </si>
  <si>
    <t xml:space="preserve">The software shall reject incomplete, malformed, overlapping, or inconsistent handshake fragments.</t>
  </si>
  <si>
    <t xml:space="preserve">Verify that incomplete, malformed, overlapping, or inconsistent handshake fragments are rejected.</t>
  </si>
  <si>
    <t xml:space="preserve">MVC-108037</t>
  </si>
  <si>
    <t xml:space="preserve">The software shall terminate the DTLS handshake if handshake message reassembly cannot be successfully completed.</t>
  </si>
  <si>
    <t xml:space="preserve">Verify that the DTLS handshake is terminated when handshake message reassembly fails.</t>
  </si>
  <si>
    <t xml:space="preserve">MVC-108041</t>
  </si>
  <si>
    <t xml:space="preserve">23.1.12 Error Handling and Security Logging</t>
  </si>
  <si>
    <t xml:space="preserve">The software shall terminate the DTLS handshake when negotiation of an unsupported DTLS feature is detected.</t>
  </si>
  <si>
    <t xml:space="preserve">Verify that the DTLS handshake is terminated when negotiation of an unsupported DTLS feature is detected.</t>
  </si>
  <si>
    <t xml:space="preserve">MVC-108040</t>
  </si>
  <si>
    <t xml:space="preserve">The software shall generate a log entry immediately after detection of a security DTLS event.</t>
  </si>
  <si>
    <t xml:space="preserve">Verify that DTLS security events are recorded. Verify that a log entry is generated immediately after event detection.</t>
  </si>
  <si>
    <t xml:space="preserve">MVC-108030</t>
  </si>
  <si>
    <t xml:space="preserve">The software shall generate a security event log entry for malformed records, invalid epoch, invalid sequence number, replay detection, AEAD authentication failure, decryption failure, freshness verification failure, and unauthorized command delivery attempts.</t>
  </si>
  <si>
    <t xml:space="preserve">MVC-108032</t>
  </si>
  <si>
    <t xml:space="preserve">The software shall ensure that failure to record one security event does not prevent processing of subsequent security events.</t>
  </si>
  <si>
    <t xml:space="preserve">Verify that failure to record one security event does not prevent processing of subsequent security events.</t>
  </si>
  <si>
    <t xml:space="preserve">MVC-108031</t>
  </si>
  <si>
    <t xml:space="preserve">The software shall prevent modification or deletion of recorded DTLS security logs by unauthorized entities.</t>
  </si>
  <si>
    <t xml:space="preserve">Verify that unauthorized modification of security logs is prevented. Verify that unauthorized deletion of security logs is prevented.</t>
  </si>
  <si>
    <t xml:space="preserve">MVC-108034</t>
  </si>
  <si>
    <t xml:space="preserve">The software shall ensure that DTLS security logs do not contain PSKs, DTLS session keys, handshake traffic keys, application traffic keys, ECDHE private keys, shared secrets, or other confidential cryptographic material.</t>
  </si>
  <si>
    <t xml:space="preserve">Verify that confidential cryptographic material is not stored in security logs.</t>
  </si>
  <si>
    <t xml:space="preserve">MVC-108033</t>
  </si>
  <si>
    <t xml:space="preserve">The software shall permit access to DTLS security logs only for authorized roles, authorized diagnostic sessions, or authorized service functions.</t>
  </si>
  <si>
    <t xml:space="preserve">Verify that unauthorized users cannot access protected log contents.</t>
  </si>
  <si>
    <t xml:space="preserve">MVC-108143</t>
  </si>
  <si>
    <t xml:space="preserve">23.2.1 Root Trust Initialization</t>
  </si>
  <si>
    <t xml:space="preserve">The software shall store the trusted Root RSA public key used for SOW1 device authentication in protected non-volatile storage.</t>
  </si>
  <si>
    <t xml:space="preserve">Verify that the Root RSA public key is stored in protected non-volatile storage.</t>
  </si>
  <si>
    <t xml:space="preserve">MVC-108142</t>
  </si>
  <si>
    <t xml:space="preserve">The software shall prevent unauthorized modification, replacement, deletion, or disclosure of the stored Root RSA public key.</t>
  </si>
  <si>
    <t xml:space="preserve">Verify that unauthorized modification or disclosure of the Root RSA public key is prevented.</t>
  </si>
  <si>
    <t xml:space="preserve">MVC-108144</t>
  </si>
  <si>
    <t xml:space="preserve">The software shall reject SOW1 device authentication if the Root RSA public key cannot be successfully loaded or validated.</t>
  </si>
  <si>
    <t xml:space="preserve">Verify that authentication is rejected if the Root RSA public key cannot be loaded or validated.</t>
  </si>
  <si>
    <t xml:space="preserve">MVC-108133</t>
  </si>
  <si>
    <t xml:space="preserve">23.2.2 Authentication Data Request</t>
  </si>
  <si>
    <t xml:space="preserve">The software shall request the SOW1 authentication data after system reset or before initiating the secured SOW1 video stream.</t>
  </si>
  <si>
    <t xml:space="preserve">Verify that authentication data is requested after reset or before secured video streaming.</t>
  </si>
  <si>
    <t xml:space="preserve">MVC-108131</t>
  </si>
  <si>
    <t xml:space="preserve">The software shall read the Device_n, KID, and Sig_device values from SOW1 through the I2C interface.</t>
  </si>
  <si>
    <t xml:space="preserve">Verify successful reception of Device_n, KID, and Sig_device.</t>
  </si>
  <si>
    <t xml:space="preserve">MVC-108126</t>
  </si>
  <si>
    <t xml:space="preserve">The software shall verify that all required authentication fields are successfully received before initiating device authentication.</t>
  </si>
  <si>
    <t xml:space="preserve">Verify rejection of incomplete authentication data.</t>
  </si>
  <si>
    <t xml:space="preserve">MVC-108124</t>
  </si>
  <si>
    <t xml:space="preserve">The software shall terminate the authentication procedure if the authentication data cannot be completely received.</t>
  </si>
  <si>
    <t xml:space="preserve">Verify that session establishment does not begin before authentication data acquisition completes.</t>
  </si>
  <si>
    <t xml:space="preserve">MVC-108136</t>
  </si>
  <si>
    <t xml:space="preserve">23.2.3 Device Authentication</t>
  </si>
  <si>
    <t xml:space="preserve">The software shall verify that the received KID corresponds to a supported cryptographic configuration.</t>
  </si>
  <si>
    <t xml:space="preserve">Verify selection of the cryptographic algorithm associated with the received KID.</t>
  </si>
  <si>
    <t xml:space="preserve">MVC-108135</t>
  </si>
  <si>
    <t xml:space="preserve">The software shall select the RSA signature verification scheme and hash algorithm corresponding to the received KID.</t>
  </si>
  <si>
    <t xml:space="preserve">MVC-108120</t>
  </si>
  <si>
    <t xml:space="preserve">The software shall perform RSA signature verification using the RSA verification scheme and hash algorithm selected for the received KID.</t>
  </si>
  <si>
    <t xml:space="preserve">MVC-108113</t>
  </si>
  <si>
    <t xml:space="preserve">The software shall authenticate SOW1 by verifying Sig_device over Device_n and KID using the trusted Root RSA public key.</t>
  </si>
  <si>
    <t xml:space="preserve">Verify signature verification using the trusted Root RSA public key. Verify that trusted communication is not permitted before successful authentication.</t>
  </si>
  <si>
    <t xml:space="preserve">MVC-108111</t>
  </si>
  <si>
    <t xml:space="preserve">The software shall reject device authentication if Device_n, KID, Sig_device, or the selected cryptographic configuration is invalid, missing, malformed, unsupported, or if signature verification fails.</t>
  </si>
  <si>
    <t xml:space="preserve">Verify rejection of malformed or unsupported authentication data. Verify rejection when signature verification fails.</t>
  </si>
  <si>
    <t xml:space="preserve">MVC-108107</t>
  </si>
  <si>
    <t xml:space="preserve">23.2.4.1 Session Key Generation</t>
  </si>
  <si>
    <t xml:space="preserve">The software shall generate a fresh symmetric session key for each new SOW1–SOW2 secure session following successful completion of SOW1 device authentication.</t>
  </si>
  <si>
    <t xml:space="preserve">Verify that a new session key is generated for every new secure session.</t>
  </si>
  <si>
    <t xml:space="preserve">MVC-108106</t>
  </si>
  <si>
    <t xml:space="preserve">The software shall generate the session key using a Cryptographically Secure Pseudo-Random Number Generator (CSPRNG) seeded from the hardware TRNG.</t>
  </si>
  <si>
    <t xml:space="preserve">Verify that the session key is generated using the approved entropy source.</t>
  </si>
  <si>
    <t xml:space="preserve">MVC-108110</t>
  </si>
  <si>
    <t xml:space="preserve">The software shall prevent reuse of session keys across independent SOW1–SOW2 secure sessions.</t>
  </si>
  <si>
    <t xml:space="preserve">Verify that session keys are not reused across independent secure sessions.</t>
  </si>
  <si>
    <t xml:space="preserve">MVC-108109</t>
  </si>
  <si>
    <t xml:space="preserve">The software shall terminate secure session establishment if session key generation cannot be completed successfully.</t>
  </si>
  <si>
    <t xml:space="preserve">Verify that secure session establishment is terminated when session key generation fails.</t>
  </si>
  <si>
    <t xml:space="preserve">MVC-108101</t>
  </si>
  <si>
    <t xml:space="preserve">23.2.4.2 Row Selection Generation</t>
  </si>
  <si>
    <t xml:space="preserve">The software shall generate row selection information for AES-CMAC calculation after successful session key generation</t>
  </si>
  <si>
    <t xml:space="preserve">Verify that row selection information is associated with the active secure session.</t>
  </si>
  <si>
    <t xml:space="preserve">MVC-108166</t>
  </si>
  <si>
    <t xml:space="preserve">The software shall generate row selection information including the start row, row interval, and total number of selected rows.</t>
  </si>
  <si>
    <t xml:space="preserve">Verify generation of start row, row interval, and total selected rows.</t>
  </si>
  <si>
    <t xml:space="preserve">MVC-108165</t>
  </si>
  <si>
    <t xml:space="preserve">The software shall generate two independent row selection information sets (Row_info_00 and Row_info_01) for the active secure session</t>
  </si>
  <si>
    <t xml:space="preserve">MVC-108170</t>
  </si>
  <si>
    <t xml:space="preserve">The software shall maintain the generated row selection information unchanged throughout the active secure session unless a new secure session is established.</t>
  </si>
  <si>
    <t xml:space="preserve">Verify that row selection information remains unchanged during the active session.</t>
  </si>
  <si>
    <t xml:space="preserve">MVC-108168</t>
  </si>
  <si>
    <t xml:space="preserve">The software shall terminate secure session establishment if row selection information cannot be successfully generated.</t>
  </si>
  <si>
    <t xml:space="preserve">Verify that session establishment is terminated when row selection generation fails.</t>
  </si>
  <si>
    <t xml:space="preserve">MVC-108164</t>
  </si>
  <si>
    <t xml:space="preserve">23.2.4.3 Session Key Protection</t>
  </si>
  <si>
    <t xml:space="preserve">The software shall store the active session key only in protected memory allocated for the active secure session (DRAM).</t>
  </si>
  <si>
    <t xml:space="preserve">Verify that the session key is stored only within the authorized security processing context.</t>
  </si>
  <si>
    <t xml:space="preserve">MVC-108163</t>
  </si>
  <si>
    <t xml:space="preserve">The software shall prevent unauthorized software components from accessing the generated session key.</t>
  </si>
  <si>
    <t xml:space="preserve">Verify that only authorized software components can access the active session key.</t>
  </si>
  <si>
    <t xml:space="preserve">MVC-108154</t>
  </si>
  <si>
    <t xml:space="preserve">The software shall prevent modification of the active session key after successful generation.</t>
  </si>
  <si>
    <t xml:space="preserve">Verify that unauthorized modification of the session key is prevented.</t>
  </si>
  <si>
    <t xml:space="preserve">MVC-108157</t>
  </si>
  <si>
    <t xml:space="preserve">The software shall prevent storage of the session key in application logs, diagnostic responses, debug interfaces, memory dumps, or non-secure storage.</t>
  </si>
  <si>
    <t xml:space="preserve">Verify that the session key is not exposed through logs, diagnostic responses, debug interfaces, trace outputs, memory dumps, or non-secure storage.</t>
  </si>
  <si>
    <t xml:space="preserve">MVC-108148</t>
  </si>
  <si>
    <t xml:space="preserve">23.2.4.4 Key Sharing</t>
  </si>
  <si>
    <t xml:space="preserve">The software shall perform encryption only after successful completion of SOW1 device authentication.</t>
  </si>
  <si>
    <t xml:space="preserve">Verify that encryption occurs only after successful device authentication.</t>
  </si>
  <si>
    <t xml:space="preserve">MVC-108153</t>
  </si>
  <si>
    <t xml:space="preserve">The software shall encrypt the generated session key and the associated row selection information before transmission to SOW1 using the authenticated SOW1 Device public key.</t>
  </si>
  <si>
    <t xml:space="preserve">Verify that the session key and row selection information are encrypted before transmission. Verify that encryption uses the authenticated SOW1 Device public key.</t>
  </si>
  <si>
    <t xml:space="preserve">MVC-108152</t>
  </si>
  <si>
    <t xml:space="preserve">The software shall terminate secure session establishment if encryption of the session key or row selection information fails.</t>
  </si>
  <si>
    <t xml:space="preserve">Verify that plaintext session establishment information is never transmitted.</t>
  </si>
  <si>
    <t xml:space="preserve">MVC-108146</t>
  </si>
  <si>
    <t xml:space="preserve">The software shall transmit the encrypted session key and encrypted row selection information to SOW1 through the I2C interface after successful SOW1 authentication.</t>
  </si>
  <si>
    <t xml:space="preserve">MVC-108145</t>
  </si>
  <si>
    <t xml:space="preserve">The software shall prevent transmission of unencrypted session establishment information over the I2C interface.</t>
  </si>
  <si>
    <t xml:space="preserve">Verify that session establishment is terminated when encryption fails.</t>
  </si>
  <si>
    <t xml:space="preserve">MVC-108147</t>
  </si>
  <si>
    <t xml:space="preserve">The software shall securely erase temporary copies of the generated session key after completion of the key-sharing procedure.</t>
  </si>
  <si>
    <t xml:space="preserve">Verify that temporary copies and working buffers containing the session key are securely erased after use.</t>
  </si>
  <si>
    <t xml:space="preserve">MVC-108138</t>
  </si>
  <si>
    <t xml:space="preserve">The software shall prevent acceptance of authenticated video frames until successful completion of secure session establishment.</t>
  </si>
  <si>
    <t xml:space="preserve">Verify that authenticated video communication is blocked until secure session establishment completes.</t>
  </si>
  <si>
    <t xml:space="preserve">MVC-108140</t>
  </si>
  <si>
    <t xml:space="preserve">23.2.5.1 Authentication Tag Extraction</t>
  </si>
  <si>
    <t xml:space="preserve">The software shall extract the embedded AES-CMAC authentication tag from the footer of each received SOW1 video frame.</t>
  </si>
  <si>
    <t xml:space="preserve">Verify extraction of the embedded AES-CMAC tag from each received frame.</t>
  </si>
  <si>
    <t xml:space="preserve">MVC-108129</t>
  </si>
  <si>
    <t xml:space="preserve">The software shall verify that the authentication tag is present before initiating video frame authentication.</t>
  </si>
  <si>
    <t xml:space="preserve">Verify rejection of frames with missing authentication tags.</t>
  </si>
  <si>
    <t xml:space="preserve">MVC-108134</t>
  </si>
  <si>
    <t xml:space="preserve">The software shall reject the received video frame if the authentication tag is missing or malformed.</t>
  </si>
  <si>
    <t xml:space="preserve">Verify rejection of malformed authentication tags.</t>
  </si>
  <si>
    <t xml:space="preserve">MVC-108132</t>
  </si>
  <si>
    <t xml:space="preserve">The software shall prevent delivery of the received video frame for further processing until authentication tag extraction has completed successfully.</t>
  </si>
  <si>
    <t xml:space="preserve">Verify that frame processing does not continue before successful authentication tag extraction.</t>
  </si>
  <si>
    <t xml:space="preserve">MVC-108118</t>
  </si>
  <si>
    <t xml:space="preserve">23.2.5.2 AES-CMAC Verification</t>
  </si>
  <si>
    <t xml:space="preserve">The software shall select the active row selection information for AES-CMAC calculation according to the configured security selection state of the active secure session</t>
  </si>
  <si>
    <t xml:space="preserve">MVC-108122</t>
  </si>
  <si>
    <t xml:space="preserve">The software shall recalculate the AES-CMAC authentication tag for each received SOW1 video frame using the active session key.</t>
  </si>
  <si>
    <t xml:space="preserve">Verify recalculation of the AES-CMAC for each received frame.</t>
  </si>
  <si>
    <t xml:space="preserve">MVC-108121</t>
  </si>
  <si>
    <t xml:space="preserve">The software shall calculate the AES-CMAC only over the configured image rows defined by the row selection information established for the active secure session.</t>
  </si>
  <si>
    <t xml:space="preserve">Verify that only the configured image rows are included in the calculation.</t>
  </si>
  <si>
    <t xml:space="preserve">MVC-108114</t>
  </si>
  <si>
    <t xml:space="preserve">The software shall terminate video authentication processing if AES-CMAC calculation cannot be completed successfully and prevent acceptance of the received video frames.</t>
  </si>
  <si>
    <t xml:space="preserve">Verify rejection of the frame when AES-CMAC calculation fails. Verify rejection of the received video frames.</t>
  </si>
  <si>
    <t xml:space="preserve">MVC-108112</t>
  </si>
  <si>
    <t xml:space="preserve">The software shall compare the recalculated AES-CMAC authentication tag with the authentication tag extracted from the received video frame.</t>
  </si>
  <si>
    <t xml:space="preserve">Verify comparison of calculated and received AES-CMAC tags.</t>
  </si>
  <si>
    <t xml:space="preserve">MVC-108117</t>
  </si>
  <si>
    <t xml:space="preserve">The software shall accept the received video frame only when the calculated and received AES-CMAC authentication tags match.</t>
  </si>
  <si>
    <t xml:space="preserve">Verify acceptance of frames only when the tags match.</t>
  </si>
  <si>
    <t xml:space="preserve">MVC-108116</t>
  </si>
  <si>
    <t xml:space="preserve">The software shall reject and discard the received video frame if AES-CMAC verification fails.</t>
  </si>
  <si>
    <t xml:space="preserve">MVC-108108</t>
  </si>
  <si>
    <t xml:space="preserve">The software shall generate a security event log entry when AES-CMAC verification of a received video frame fails.</t>
  </si>
  <si>
    <t xml:space="preserve">MVC-108105</t>
  </si>
  <si>
    <t xml:space="preserve">The software shall continue processing subsequent received video frames following rejection of an individual video frame.</t>
  </si>
  <si>
    <t xml:space="preserve">Verify continued processing of subsequent frames when permitted</t>
  </si>
  <si>
    <t xml:space="preserve">MVC-108099</t>
  </si>
  <si>
    <t xml:space="preserve">23.2.5.3 Freshness Verification</t>
  </si>
  <si>
    <t xml:space="preserve">The software shall verify the freshness of frame counter contained in each received SOW1 video frame.</t>
  </si>
  <si>
    <t xml:space="preserve">Verify that freshness information is verified when provided by SOW1.</t>
  </si>
  <si>
    <t xml:space="preserve">MVC-108104</t>
  </si>
  <si>
    <t xml:space="preserve">The software shall compare the received freshness information with the previously accepted freshness information associated with the active secure session.</t>
  </si>
  <si>
    <t xml:space="preserve">Verify detection of duplicated freshness values. Verify rejection of stale freshness values. Verify rejection of out-of-order video frames.</t>
  </si>
  <si>
    <t xml:space="preserve">MVC-108102</t>
  </si>
  <si>
    <t xml:space="preserve">The software shall reject duplicated, stale, or out-of-order video frames when freshness verification fails.</t>
  </si>
  <si>
    <t xml:space="preserve">MVC-108167</t>
  </si>
  <si>
    <t xml:space="preserve">The software shall continue processing subsequent valid video frames after rejecting an invalid frame.</t>
  </si>
  <si>
    <t xml:space="preserve">Verify that subsequent valid frames continue to be processed.</t>
  </si>
  <si>
    <t xml:space="preserve">MVC-108169</t>
  </si>
  <si>
    <t xml:space="preserve">23.2.6 Protected Control Commands</t>
  </si>
  <si>
    <t xml:space="preserve">The software shall transmit protected SOW1 control commands only after successful completion of SOW1 device authentication.</t>
  </si>
  <si>
    <t xml:space="preserve">MVC-108159</t>
  </si>
  <si>
    <t xml:space="preserve">The software shall include a monotonic counter in each protected SOW1 control command before generating the AES-CMAC authentication tag.</t>
  </si>
  <si>
    <t xml:space="preserve">Verify inclusion of freshness information in protected control commands. Verify that freshness values are unique within the active secure session. Verify that transmission is prevented when freshness generation fails.</t>
  </si>
  <si>
    <t xml:space="preserve">MVC-108161</t>
  </si>
  <si>
    <t xml:space="preserve">The software shall ensure that freshness values are not reused within the active secure session.</t>
  </si>
  <si>
    <t xml:space="preserve">Verify that freshness values are not reused.</t>
  </si>
  <si>
    <t xml:space="preserve">MVC-108160</t>
  </si>
  <si>
    <t xml:space="preserve">The software shall generate and append an AES-CMAC authentication tag for each transmitted protected SOW1 control command only when protected control command verification is supported by SOW1.</t>
  </si>
  <si>
    <t xml:space="preserve">Verify generation of an AES-CMAC for each protected control command. Verify that the active session key is used. Verify that the authentication tag is appended before transmission. Verify that command transmission is prevented when CMAC generation fails.</t>
  </si>
  <si>
    <t xml:space="preserve">MVC-108158</t>
  </si>
  <si>
    <t xml:space="preserve">23.2.7 Failure Handling</t>
  </si>
  <si>
    <t xml:space="preserve">The software shall invalidate the active SOW1–SOW2 session key upon system reset, system restart, secure session termination, authentication failure, key sharing failure, or video authentication failure requiring session recovery.</t>
  </si>
  <si>
    <t xml:space="preserve">Verify session key invalidation under all specified conditions. Verify secure erasure of invalidated session keys. Verify that invalidated keys cannot be reused.</t>
  </si>
  <si>
    <t xml:space="preserve">MVC-108156</t>
  </si>
  <si>
    <t xml:space="preserve">The software shall require establishment of a new SOW1–SOW2 secure session following session expiry, system reset, system restart, secure session termination, authentication failure, key sharing failure, or video authentication failure requiring session recovery.</t>
  </si>
  <si>
    <t xml:space="preserve">Verify that secure session re-establishment is required under all specified conditions.</t>
  </si>
  <si>
    <t xml:space="preserve">MVC-108151</t>
  </si>
  <si>
    <t xml:space="preserve">The software shall perform SOW1 device authentication before establishing the new secure session.</t>
  </si>
  <si>
    <t xml:space="preserve">Verify that SOW1 device authentication is repeated. Verify generation of a new session key and row selection information. Verify that trusted video frames are rejected until the new secure session becomes active.</t>
  </si>
  <si>
    <t xml:space="preserve">MVC-108149</t>
  </si>
  <si>
    <t xml:space="preserve">The software shall terminate the secure session establishment procedure if completion is not achieved within the configured timeout period or retry limit.</t>
  </si>
  <si>
    <t xml:space="preserve">Verify monitoring of secure session establishment duration. Verify termination when the configured timeout or retry limit is exceeded. Verify invalidation of partially established session information. Verify transition to the Inactive state. Verify initiation of recovery handling.</t>
  </si>
  <si>
    <t xml:space="preserve">MVC-107859</t>
  </si>
  <si>
    <t xml:space="preserve">23.3 Secure Debug</t>
  </si>
  <si>
    <t xml:space="preserve">The SW shall keep the hardware debug interface, including JTAG, in the locked state by default when the ECU is in production mode.</t>
  </si>
  <si>
    <t xml:space="preserve">Verify that when the ECU is in production mode, the hardware debug interface, including JTAG, is locked by default after power-on/reset and cannot be used before successful secure debug unlock.</t>
  </si>
  <si>
    <t xml:space="preserve">MVC-107863</t>
  </si>
  <si>
    <t xml:space="preserve">The SW shall permit hardware debug unlocking only through the approved UART-based secure debug unlock service.</t>
  </si>
  <si>
    <t xml:space="preserve">Verify that hardware debug unlocking is permitted only through the approved UART-based secure debug unlock service.</t>
  </si>
  <si>
    <t xml:space="preserve">MVC-107862</t>
  </si>
  <si>
    <t xml:space="preserve">The SW shall reject any hardware debug unlock attempt received through any interface other than the configured dedicated UART service interface [X] [UART0, UART1, dedicated service UART, OEM-defined debug UART channel].</t>
  </si>
  <si>
    <t xml:space="preserve">Verify that any hardware debug unlock attempt received through an interface other than the configured dedicated UART service interface is rejected and does not enable the hardware debug interface.</t>
  </si>
  <si>
    <t xml:space="preserve">MVC-107865</t>
  </si>
  <si>
    <t xml:space="preserve">The SW shall accept a debug unlock challenge request only when the request format is valid and the ECU lifecycle state permits debug unlock processing.</t>
  </si>
  <si>
    <t xml:space="preserve">Verify that a debug unlock challenge request is accepted only when the request format is valid and the ECU lifecycle state permits debug unlock processing. Invalid format or unauthorized lifecycle state shall be rejected.</t>
  </si>
  <si>
    <t xml:space="preserve">MVC-107864</t>
  </si>
  <si>
    <t xml:space="preserve">The SW shall generate a fresh debug unlock challenge, KDF nonce, KDF salt, and Session_ID for each valid debug unlock transaction using the configured random source [X] [platform TRNG, TRNG-seeded CSPRNG].</t>
  </si>
  <si>
    <t xml:space="preserve">Verify that for each valid debug unlock transaction, the SW generates a fresh Challenge, KDF Nonce, KDF Salt, and Session_ID using the configured random source.</t>
  </si>
  <si>
    <t xml:space="preserve">MVC-107857</t>
  </si>
  <si>
    <t xml:space="preserve">The SW shall ensure that the generated Challenge, Nonce, Salt, and Session_ID are unique per active debug unlock transaction and shall not reuse them for another transaction.</t>
  </si>
  <si>
    <t xml:space="preserve">Verify that the generated Challenge, Nonce, Salt, and Session_ID are unique per active debug unlock transaction and are not reused across transactions.</t>
  </si>
  <si>
    <t xml:space="preserve">MVC-107889</t>
  </si>
  <si>
    <t xml:space="preserve">The SW shall construct the debug unlock transaction context using the following fields: Challenge, ECU_ID, Nonce, Salt, Session_ID, and Validity_Period.</t>
  </si>
  <si>
    <t xml:space="preserve">Verify that the debug unlock transaction context is constructed using the required fields: Challenge, ECU_ID, Nonce, Salt, Session_ID, and Validity_Period.</t>
  </si>
  <si>
    <t xml:space="preserve">MVC-107887</t>
  </si>
  <si>
    <t xml:space="preserve">The SW shall bind the debug unlock transaction context to the target ECU identity format [X] [ECU serial number, ECU unique ID, VIN-bound ECU ID, OEM-defined ECU ID] and ECU identity encoding [X] [ASCII, UTF-8, binary].</t>
  </si>
  <si>
    <t xml:space="preserve">Verify that the debug unlock transaction context is bound to the target ECU identity using the configured ECU identity format and encoding. A response using an incorrect ECU_ID shall be rejected.</t>
  </si>
  <si>
    <t xml:space="preserve">MVC-107893</t>
  </si>
  <si>
    <t xml:space="preserve">The SW shall configure the challenge validity period as [X] [30 seconds, 60 seconds, 120 seconds] and shall associate this validity period with the active debug unlock transaction context.</t>
  </si>
  <si>
    <t xml:space="preserve">Verify that the configured challenge validity period is associated with the active debug unlock transaction and that responses received after expiry are rejected.</t>
  </si>
  <si>
    <t xml:space="preserve">MVC-107891</t>
  </si>
  <si>
    <t xml:space="preserve">The SW shall transmit to the debug tool only the debug unlock transaction context containing Challenge, ECU_ID, Nonce, Salt, Session_ID, and Validity_Period.</t>
  </si>
  <si>
    <t xml:space="preserve">Verify that the SW transmits to the debug tool only the debug unlock transaction context containing Challenge, ECU_ID, Nonce, Salt, Session_ID, and Validity_Period, without exposing secret material.</t>
  </si>
  <si>
    <t xml:space="preserve">MVC-107881</t>
  </si>
  <si>
    <t xml:space="preserve">The SW shall not transmit, process, or expect any algorithm identifier field during the secure debug unlock transaction because the secure debug mechanism uses a single fixed cryptographic profile.</t>
  </si>
  <si>
    <t xml:space="preserve">Verify that no algorithm identifier field is transmitted, processed, or expected during the secure debug unlock transaction. Any unexpected algorithm identifier shall not affect the fixed cryptographic profile.</t>
  </si>
  <si>
    <t xml:space="preserve">MVC-107879</t>
  </si>
  <si>
    <t xml:space="preserve">The SW shall derive the DebugUnlockSessionKey from the ECU-specific pre-shared debug authentication key using the configured KDF type [X] [CMAC-based KDF in counter mode, HKDF-SHA256, OEM-approved KDF].</t>
  </si>
  <si>
    <t xml:space="preserve">Verify that the DebugUnlockSessionKey is derived from the ECU-specific pre-shared debug authentication key using only the configured KDF type.</t>
  </si>
  <si>
    <t xml:space="preserve">MVC-107885</t>
  </si>
  <si>
    <t xml:space="preserve">The SW shall use the following KDF input fields for DebugUnlockSessionKey derivation: PSK, Nonce, Salt, ECU_ID, Session_ID, and debug unlock context [X] [SecureDebugUnlock, OEM-defined context string].</t>
  </si>
  <si>
    <t xml:space="preserve">Verify that the KDF input fields include PSK, Nonce, Salt, ECU_ID, Session_ID, and the configured debug unlock context string.</t>
  </si>
  <si>
    <t xml:space="preserve">MVC-107883</t>
  </si>
  <si>
    <t xml:space="preserve">The SW shall not use the ECU-specific pre-shared debug authentication key directly as the AES-CMAC key for unlock response verification.</t>
  </si>
  <si>
    <t xml:space="preserve">Verify that the ECU-specific pre-shared debug authentication key is not used directly as the AES-CMAC key for unlock response verification.</t>
  </si>
  <si>
    <t xml:space="preserve">MVC-107896</t>
  </si>
  <si>
    <t xml:space="preserve">The SW shall verify the debug unlock response using AES-CMAC with the derived DebugUnlockSessionKey.</t>
  </si>
  <si>
    <t xml:space="preserve">Verify that a valid unlock response generated using AES-CMAC with the derived DebugUnlockSessionKey is accepted, and an invalid AES-CMAC response is rejected.</t>
  </si>
  <si>
    <t xml:space="preserve">MVC-107895</t>
  </si>
  <si>
    <t xml:space="preserve">The SW shall construct the AES-CMAC protected input using the fixed field order: Challenge || ECU_ID || Session_ID || Nonce || Salt || Validity_Period.</t>
  </si>
  <si>
    <t xml:space="preserve">Verify that the AES-CMAC protected input is constructed using the fixed field order: Challenge || ECU_ID || Session_ID || Nonce || Salt || Validity_Period.</t>
  </si>
  <si>
    <t xml:space="preserve">MVC-107876</t>
  </si>
  <si>
    <t xml:space="preserve">The SW shall encode the debug unlock transaction context using a fixed canonical serialization format [X] [fixed-order binary concatenation, TLV format, OEM-defined canonical format] before AES-CMAC verification.</t>
  </si>
  <si>
    <t xml:space="preserve">Verify that the debug unlock transaction context is encoded using the configured fixed canonical serialization format before AES-CMAC verification.</t>
  </si>
  <si>
    <t xml:space="preserve">MVC-107871</t>
  </si>
  <si>
    <t xml:space="preserve">The SW shall encode multi-byte numeric fields in the debug unlock transaction context using byte order [X] [big-endian / network byte order, little-endian].</t>
  </si>
  <si>
    <t xml:space="preserve">Verify that all multi-byte numeric fields in the debug unlock transaction context are encoded using the configured byte order.</t>
  </si>
  <si>
    <t xml:space="preserve">MVC-107870</t>
  </si>
  <si>
    <t xml:space="preserve">The SW shall maintain only one active debug unlock transaction at a time unless another approved policy is configured by response validation policy [X] [strict single-use challenge, single active challenge only, multiple pending challenges not allowed].</t>
  </si>
  <si>
    <t xml:space="preserve">Verify that the SW maintains only one active debug unlock transaction at a time unless another approved response validation policy is configured.</t>
  </si>
  <si>
    <t xml:space="preserve">MVC-107873</t>
  </si>
  <si>
    <t xml:space="preserve">The SW shall reject any unlock response that is expired, reused, malformed, invalid, unauthorized, or not associated with the active debug unlock transaction context.</t>
  </si>
  <si>
    <t xml:space="preserve">Verify that expired, reused, malformed, invalid, unauthorized, or non-associated unlock responses are rejected and do not enable the hardware debug interface.</t>
  </si>
  <si>
    <t xml:space="preserve">MVC-107872</t>
  </si>
  <si>
    <t xml:space="preserve">The SW shall validate the received unlock response against the active transaction context, including Challenge, ECU_ID, Session_ID, Nonce, Salt, and Validity_Period.</t>
  </si>
  <si>
    <t xml:space="preserve">Verify that the received unlock response is validated against the active transaction context, including Challenge, ECU_ID, Session_ID, Nonce, Salt, and Validity_Period.</t>
  </si>
  <si>
    <t xml:space="preserve">MVC-107867</t>
  </si>
  <si>
    <t xml:space="preserve">The SW shall enable the hardware debug interface only after the debug unlock response has been successfully authenticated and verified inside the secure execution environment.</t>
  </si>
  <si>
    <t xml:space="preserve">Verify that the hardware debug interface is enabled only after the debug unlock response has been successfully authenticated and verified inside the secure execution environment.</t>
  </si>
  <si>
    <t xml:space="preserve">MVC-107866</t>
  </si>
  <si>
    <t xml:space="preserve">The SW shall prevent AES-CMAC key material, KDF intermediate values, derived debug session keys, and unlock verification material from being exposed through UART messages, logs, diagnostic responses, memory dumps, or non-secure storage.</t>
  </si>
  <si>
    <t xml:space="preserve">Verify that AES-CMAC key material, KDF intermediate values, derived debug session keys, and unlock verification material are not exposed through UART messages, logs, diagnostic responses, memory dumps, or non-secure storage.</t>
  </si>
  <si>
    <t xml:space="preserve">MVC-107869</t>
  </si>
  <si>
    <t xml:space="preserve">The SW shall import or decrypt the ECU-specific pre-shared debug authentication key only inside the protected execution environment using the ECU-specific OTP DEK.</t>
  </si>
  <si>
    <t xml:space="preserve">Verify that the ECU-specific pre-shared debug authentication key is imported or decrypted only inside the protected execution environment using the ECU-specific OTP DEK/KEK.</t>
  </si>
  <si>
    <t xml:space="preserve">MVC-107868</t>
  </si>
  <si>
    <t xml:space="preserve">The SW shall store the ECU-specific pre-shared debug authentication key only as part of an encrypted and authenticated ECU-specific key package in the configured SOW2 secure partition [X] [SPI secure partition, encrypted secure partition, secure storage partition].</t>
  </si>
  <si>
    <t xml:space="preserve">Verify that the ECU-specific pre-shared debug authentication key is stored only as part of an encrypted and authenticated ECU-specific key package in the configured SOW2 secure partition.</t>
  </si>
  <si>
    <t xml:space="preserve">MVC-107874</t>
  </si>
  <si>
    <t xml:space="preserve">The SW shall generate derived debug unlock session keys only for the active debug unlock attempt and shall not persistently store the derived session key.</t>
  </si>
  <si>
    <t xml:space="preserve">Verify that derived debug unlock session keys are generated only for the active debug unlock attempt and are not persistently stored.</t>
  </si>
  <si>
    <t xml:space="preserve">MVC-107861</t>
  </si>
  <si>
    <t xml:space="preserve">The SW shall invalidate debug unlock temporary material, including KDF intermediate values and derived session keys, after unlock verification completes, fails, expires, or when the active transaction is terminated.</t>
  </si>
  <si>
    <t xml:space="preserve">Verify that debug unlock temporary material, including KDF intermediate values and derived session keys, is invalidated after verification completes, fails, expires, or when the active transaction is terminated.</t>
  </si>
  <si>
    <t xml:space="preserve">MVC-107860</t>
  </si>
  <si>
    <t xml:space="preserve">The SW shall unlock the hardware debug interface only for a limited authorized debug session and shall automatically re-lock it after session timeout [X] [5 minutes, 10 minutes, 15 minutes, 30 minutes] or upon completion of authorized debug activities.</t>
  </si>
  <si>
    <t xml:space="preserve">Verify that after successful unlock, the hardware debug interface remains unlocked only for the limited authorized debug session and is automatically re-locked after the configured timeout or completion of authorized debug activities.</t>
  </si>
  <si>
    <t xml:space="preserve">MVC-107890</t>
  </si>
  <si>
    <t xml:space="preserve">The SW shall return the hardware debug interface to the locked state after every Power-On Reset.</t>
  </si>
  <si>
    <t xml:space="preserve">Verify that the hardware debug interface returns to the locked state after every Power-On Reset.</t>
  </si>
  <si>
    <t xml:space="preserve">MVC-107888</t>
  </si>
  <si>
    <t xml:space="preserve">The SW shall invalidate any active debug unlock session when the lifecycle state changes or when a security violation is detected.</t>
  </si>
  <si>
    <t xml:space="preserve">Verify that any active debug unlock session is invalidated when the lifecycle state changes or when a security violation is detected.</t>
  </si>
  <si>
    <t xml:space="preserve">MVC-107894</t>
  </si>
  <si>
    <t xml:space="preserve">The SW shall maintain a failed unlock attempt counter and shall apply the configured lockout policy after the defined number of failed attempts [X] [3 attempts, 5 attempts, 10 attempts].</t>
  </si>
  <si>
    <t xml:space="preserve">Verify that the SW maintains a failed unlock attempt counter and applies the configured lockout policy after the defined number of failed attempts is reached.</t>
  </si>
  <si>
    <t xml:space="preserve">MVC-107892</t>
  </si>
  <si>
    <t xml:space="preserve">The SW shall lock the UART-based debug unlock function for a configurable period [X] [30 seconds, 60 seconds, 5 minutes, until next POR] after the failed-attempt threshold is reached.</t>
  </si>
  <si>
    <t xml:space="preserve">Verify that after the failed-attempt threshold is reached, the UART-based debug unlock function is locked for the configured lockout period.</t>
  </si>
  <si>
    <t xml:space="preserve">MVC-107882</t>
  </si>
  <si>
    <t xml:space="preserve">The SW shall return only minimum failure information over UART during failed unlock attempts and shall not disclose whether the failure was caused by challenge expiry, malformed data, invalid CMAC, wrong key, freshness failure, or authorization failure.</t>
  </si>
  <si>
    <t xml:space="preserve">Verify that during failed unlock attempts, the SW returns only minimum failure information over UART and does not disclose whether the failure was caused by expiry, malformed data, invalid CMAC, wrong key, freshness failure, or authorization failure.</t>
  </si>
  <si>
    <t xml:space="preserve">MVC-107880</t>
  </si>
  <si>
    <t xml:space="preserve">The SW shall log debug unlock security events including challenge requests, successful unlocks, failed verifications, lockout events, and relock events.</t>
  </si>
  <si>
    <t xml:space="preserve">Verify that debug unlock security events are logged, including challenge requests, successful unlocks, failed verifications, lockout events, and relock events.</t>
  </si>
  <si>
    <t xml:space="preserve">MVC-107886</t>
  </si>
  <si>
    <t xml:space="preserve">The SW shall include in debug unlock logs the configured timestamp source [X] [secure RTC, system monotonic counter, backend-provided timestamp], ECU identity, and transaction result.</t>
  </si>
  <si>
    <t xml:space="preserve">Verify that debug unlock logs include the configured timestamp source, ECU identity, and transaction result.</t>
  </si>
  <si>
    <t xml:space="preserve">MVC-107884</t>
  </si>
  <si>
    <t xml:space="preserve">The SW shall restrict debug unlock log readout according to log access policy [X] [authorized debug session only, backend-authorized readout only, local diagnostic readout disabled].</t>
  </si>
  <si>
    <t xml:space="preserve">Verify that debug unlock log readout is restricted according to the configured log access policy and is not accessible through unauthorized interfaces or sessions.</t>
  </si>
  <si>
    <t xml:space="preserve">MVC-107875</t>
  </si>
  <si>
    <t xml:space="preserve">The SW shall reject development or test debug authentication keys when the ECU is configured in production locked mode.</t>
  </si>
  <si>
    <t xml:space="preserve">Verify that development or test debug authentication keys are rejected when the ECU is configured in production locked mode.</t>
  </si>
  <si>
    <t xml:space="preserve">MVC-107878</t>
  </si>
  <si>
    <t xml:space="preserve">The SW shall support the selected secure debug key package provisioning configuration, including encrypted key package location and OTP DEK location, without exposing plaintext key values during runtime access.</t>
  </si>
  <si>
    <t xml:space="preserve">Verify that the selected secure debug key package provisioning configuration is supported, including encrypted key package location and OTP DEK/KEK location, without exposing plaintext key values during runtime access.</t>
  </si>
  <si>
    <t xml:space="preserve">MVC-107877</t>
  </si>
  <si>
    <t xml:space="preserve">The SW shall process only backend-generated unlock responses received through the debug tool over the approved UART debug unlock service and within the active challenge validity period.</t>
  </si>
  <si>
    <t xml:space="preserve">Verify that the SW processes only backend-generated unlock responses received through the debug tool over the approved UART debug unlock service and within the active challenge validity period.</t>
  </si>
  <si>
    <t xml:space="preserve">MVC-107901</t>
  </si>
  <si>
    <t xml:space="preserve">23.4 SPI Flash secure interface</t>
  </si>
  <si>
    <t xml:space="preserve">The SW shall support secure boot chain-of-trust establishment from the read-only Root of Trust using public verification material provisioned in OTP/eFuse location [X] [SoC OTP/eFuse zone 7, other SoC-approved OTP/eFuse zone].</t>
  </si>
  <si>
    <t xml:space="preserve">Verify that the SW establishes the secure boot chain of trust from the read-only Root of Trust using only the approved public verification material provisioned in the configured OTP/eFuse location.</t>
  </si>
  <si>
    <t xml:space="preserve">MVC-107900</t>
  </si>
  <si>
    <t xml:space="preserve">The SW shall verify the authenticity and integrity of each boot image loaded from external SPI NOR flash before execution or transfer of control to the next boot stage.</t>
  </si>
  <si>
    <t xml:space="preserve">Verify that each boot image loaded from external SPI NOR flash is checked for authenticity and integrity before execution or before control is transferred to the next boot stage.</t>
  </si>
  <si>
    <t xml:space="preserve">MVC-107904</t>
  </si>
  <si>
    <t xml:space="preserve">The SW shall support the selected secure boot flow [X] [CV2xFS boot flow without OP-TEE, CV2xFS boot flow with OP-TEE if approved in future configuration].</t>
  </si>
  <si>
    <t xml:space="preserve">Verify that the SW supports only the selected secure boot flow configured for the project, such as CV2xFS boot flow without OP-TEE or the approved future OP-TEE boot flow.</t>
  </si>
  <si>
    <t xml:space="preserve">MVC-107902</t>
  </si>
  <si>
    <t xml:space="preserve">The SW shall verify the configured boot stages [X] [Safety BST, Safety BLD, Safety OS, A53 BLD, ATF, OS image] according to the approved boot chain sequence.</t>
  </si>
  <si>
    <t xml:space="preserve">Verify that the configured boot stages are verified according to the approved boot chain sequence before each stage is executed.</t>
  </si>
  <si>
    <t xml:space="preserve">MVC-107907</t>
  </si>
  <si>
    <t xml:space="preserve">The SW shall calculate the hash digest of each boot binary or firmware image using hash algorithm [X] [SHA-256].</t>
  </si>
  <si>
    <t xml:space="preserve">Verify that the SW calculates the hash digest of each boot binary or firmware image using the configured hash algorithm, expected to be SHA-256.</t>
  </si>
  <si>
    <t xml:space="preserve">MVC-107906</t>
  </si>
  <si>
    <t xml:space="preserve">The SW shall verify the RSA digital signature of each signed boot binary or firmware image using the public verification key provisioned in SoC OTP/eFuse zone [X] [zone 7, other SoC-approved OTP/eFuse zone].</t>
  </si>
  <si>
    <t xml:space="preserve">Verify that the SW verifies the RSA digital signature of each signed boot binary or firmware image using the public verification key provisioned in the configured SoC OTP/eFuse zone.</t>
  </si>
  <si>
    <t xml:space="preserve">MVC-107909</t>
  </si>
  <si>
    <t xml:space="preserve">The SW shall support RSA signature verification according to RSA key length [X] [2048, 3072, 4096] bits and RSA signature scheme [X] [RSA-PSS, RSASSA-PKCS1-v1_5].</t>
  </si>
  <si>
    <t xml:space="preserve">Verify that the SW supports RSA signature verification using the configured RSA key length and RSA signature scheme. Unsupported key lengths or schemes shall be rejected.</t>
  </si>
  <si>
    <t xml:space="preserve">MVC-107908</t>
  </si>
  <si>
    <t xml:space="preserve">The SW shall confirm that the calculated image digest matches the authenticated digest before executing the image or transferring control to the next boot stage.</t>
  </si>
  <si>
    <t xml:space="preserve">Verify that the SW confirms the calculated image digest matches the authenticated digest before execution. If the digest does not match, the image shall not be executed.</t>
  </si>
  <si>
    <t xml:space="preserve">MVC-107899</t>
  </si>
  <si>
    <t xml:space="preserve">The SW shall support the configured signature location/format [X] [image header, authenticated metadata block, end of binary] when locating and verifying boot image signatures.</t>
  </si>
  <si>
    <t xml:space="preserve">Verify that the SW locates and verifies boot image signatures according to the configured signature location or format, such as image header, authenticated metadata block, or end of binary.</t>
  </si>
  <si>
    <t xml:space="preserve">MVC-107926</t>
  </si>
  <si>
    <t xml:space="preserve">The SW shall fail the secure boot flow and prevent execution of the boot image if authenticity, integrity, boot metadata, hash digest verification, RSA signature verification, or anti-rollback verification fails.</t>
  </si>
  <si>
    <t xml:space="preserve">Verify that the secure boot flow fails and the boot image is not executed if authenticity, integrity, boot metadata, hash digest verification, RSA signature verification, or anti-rollback verification fails.</t>
  </si>
  <si>
    <t xml:space="preserve">MVC-107924</t>
  </si>
  <si>
    <t xml:space="preserve">The SW shall apply the configured secure boot failure action [X] [halt boot, reset, enter recovery mode, enter safe state] when secure boot verification fails.</t>
  </si>
  <si>
    <t xml:space="preserve">Verify that the configured secure boot failure action is applied when secure boot verification fails, such as halt boot, reset, recovery mode, or safe state.</t>
  </si>
  <si>
    <t xml:space="preserve">MVC-107930</t>
  </si>
  <si>
    <t xml:space="preserve">The SW shall apply the configured secure boot error reporting/logging policy [X] [no external detail, secure diagnostic event only, secure internal log only] when verification fails.</t>
  </si>
  <si>
    <t xml:space="preserve">Verify that the configured secure boot error reporting/logging policy is applied when verification fails, and that no unauthorized external failure details are exposed.</t>
  </si>
  <si>
    <t xml:space="preserve">MVC-107928</t>
  </si>
  <si>
    <t xml:space="preserve">The SW shall use authenticated boot metadata to support secure boot verification and anti-rollback protection.</t>
  </si>
  <si>
    <t xml:space="preserve">Verify that authenticated boot metadata is used to support secure boot verification and anti-rollback protection.</t>
  </si>
  <si>
    <t xml:space="preserve">MVC-107921</t>
  </si>
  <si>
    <t xml:space="preserve">The SW shall process the configured authenticated metadata fields [X] [image identifier, image length, image version, boot stage ID, SHA-256 image digest, RSA signature information, non-volatile counter information, signature offset]. The SW shall support the configured metadata storage format [X] [image header, separate authenticated metadata block, appended footer].</t>
  </si>
  <si>
    <t xml:space="preserve">MVC-107920</t>
  </si>
  <si>
    <t xml:space="preserve">The SW shall verify during firmware boot that the firmware version is not older than the minimum version authorized by the trusted monotonic counter.</t>
  </si>
  <si>
    <t xml:space="preserve">Verify that during firmware boot, the SW checks that the firmware version is not older than the minimum version authorized by the trusted monotonic counter.</t>
  </si>
  <si>
    <t xml:space="preserve">MVC-107923</t>
  </si>
  <si>
    <t xml:space="preserve">The SW shall reject any boot image whose firmware version does not satisfy the configured anti-rollback check.</t>
  </si>
  <si>
    <t xml:space="preserve">Verify that any boot image whose firmware version does not satisfy the configured anti-rollback check is rejected and not executed.</t>
  </si>
  <si>
    <t xml:space="preserve">MVC-107922</t>
  </si>
  <si>
    <t xml:space="preserve">The SW shall support the configured anti-rollback counter width/location [X] [SoC OTP monotonic counter, OEM-defined non-volatile monotonic counter].</t>
  </si>
  <si>
    <t xml:space="preserve">Verify that the SW supports the configured anti-rollback counter width and location, such as SoC OTP monotonic counter or OEM-defined non-volatile monotonic counter.</t>
  </si>
  <si>
    <t xml:space="preserve">MVC-107933</t>
  </si>
  <si>
    <t xml:space="preserve">The SW shall support the configured firmware version encoding [X] [integer version, security version number, image version field] for anti-rollback verification.</t>
  </si>
  <si>
    <t xml:space="preserve">Verify that the SW supports the configured firmware version encoding for anti-rollback verification, such as integer version, security version number, or image version field.</t>
  </si>
  <si>
    <t xml:space="preserve">MVC-107932</t>
  </si>
  <si>
    <t xml:space="preserve">The SW shall update the trusted anti-rollback counter only according to the configured counter update trigger [X] [after successful update, during production provisioning, OEM-authorized update package] and authorized updater [X] [OEM, Mekra production process, secure bootloader].</t>
  </si>
  <si>
    <t xml:space="preserve">Verify that the trusted anti-rollback counter is updated only according to the configured counter update trigger and only by the authorized updater. Unauthorized counter updates shall be rejected.</t>
  </si>
  <si>
    <t xml:space="preserve">MVC-107919</t>
  </si>
  <si>
    <t xml:space="preserve">The SW shall restrict secure boot enable/disable controls and boot-device selection configuration to the allowed development lifecycle stage [X] [development, validation].</t>
  </si>
  <si>
    <t xml:space="preserve">Verify that secure boot enable/disable controls and boot-device selection configuration are restricted to the allowed development lifecycle stage only.</t>
  </si>
  <si>
    <t xml:space="preserve">MVC-107915</t>
  </si>
  <si>
    <t xml:space="preserve">The SW shall enforce secure boot as permanently enabled when the ECU is in the mass-production lifecycle stage [X] [production locked, OEM-defined production lifecycle state].</t>
  </si>
  <si>
    <t xml:space="preserve">Verify that secure boot is permanently enabled when the ECU is in the configured mass-production lifecycle stage.</t>
  </si>
  <si>
    <t xml:space="preserve">MVC-107914</t>
  </si>
  <si>
    <t xml:space="preserve">The SW shall prevent modification, bypass, or use of alternative development boot paths such as USB boot in shipped products according to disable mechanism [X] [OTP/eFuse configuration, secure boot lifecycle lock, SoC boot configuration lock].</t>
  </si>
  <si>
    <t xml:space="preserve">Verify that modification, bypass, or use of alternative development boot paths such as USB boot is prevented in shipped products according to the configured disable mechanism.</t>
  </si>
  <si>
    <t xml:space="preserve">MVC-107917</t>
  </si>
  <si>
    <t xml:space="preserve">The SW shall use external SPI NOR flash as the selected production boot device when the ECU is in production mode.</t>
  </si>
  <si>
    <t xml:space="preserve">Verify that external SPI NOR flash is selected as the production boot device when the ECU is in production mode.</t>
  </si>
  <si>
    <t xml:space="preserve">MVC-107916</t>
  </si>
  <si>
    <t xml:space="preserve">The SW shall allow boot-device selection to remain configurable only during the development lifecycle stage through the supported Power-On Configuration mechanism [X] [boot strap pins, SoC Power-On Configuration, OEM-defined development configuration].</t>
  </si>
  <si>
    <t xml:space="preserve">Verify that boot-device selection remains configurable only during the development lifecycle stage through the supported Power-On Configuration mechanism.</t>
  </si>
  <si>
    <t xml:space="preserve">MVC-107911</t>
  </si>
  <si>
    <t xml:space="preserve">The SW shall support permanent production boot-device selection from the SoC OTP/eFuse field [X] [SoC boot-device selection field, OEM-defined OTP/eFuse field].</t>
  </si>
  <si>
    <t xml:space="preserve">Verify that the SW supports permanent production boot-device selection from the configured SoC OTP/eFuse field.</t>
  </si>
  <si>
    <t xml:space="preserve">MVC-107910</t>
  </si>
  <si>
    <t xml:space="preserve">The SW shall store security-sensitive assets requiring restricted access in protected storage type [X] [protected SECURE partition, encrypted secure partition, SoC protected storage, equivalently protected storage region].</t>
  </si>
  <si>
    <t xml:space="preserve">Verify that security-sensitive assets requiring restricted access are stored only in the configured protected storage type.</t>
  </si>
  <si>
    <t xml:space="preserve">MVC-107913</t>
  </si>
  <si>
    <t xml:space="preserve">The SW shall enforce access to protected boot/security assets according to access control owner [X] [Secure ROM, secure bootloader, secure CPU, OEM-defined secure service].</t>
  </si>
  <si>
    <t xml:space="preserve">Verify that access to protected boot/security assets is enforced according to the configured access control owner, such as Secure ROM, secure bootloader, secure CPU, or OEM-defined secure service.</t>
  </si>
  <si>
    <t xml:space="preserve">MVC-107912</t>
  </si>
  <si>
    <t xml:space="preserve">The SW shall use encryption/key source [X] [OTP-derived DEK, device-unique key, SoC secure storage key] where storage encryption is required for security-sensitive assets.</t>
  </si>
  <si>
    <t xml:space="preserve">Verify that the configured encryption/key source is used where storage encryption is required for security-sensitive assets.</t>
  </si>
  <si>
    <t xml:space="preserve">MVC-107918</t>
  </si>
  <si>
    <t xml:space="preserve">The SW shall protect security-sensitive data stored in external SPI NOR flash against unauthorized disclosure using protection mechanism [X] [encryption, secure partition protection, integrity protection with device binding].</t>
  </si>
  <si>
    <t xml:space="preserve">Verify that security-sensitive data stored in external SPI NOR flash is protected against unauthorized disclosure using the configured protection mechanism.</t>
  </si>
  <si>
    <t xml:space="preserve">MVC-107905</t>
  </si>
  <si>
    <t xml:space="preserve">The SW shall not store private keys or other long-term secrets in plaintext in external SPI NOR flash.</t>
  </si>
  <si>
    <t xml:space="preserve">Verify that private keys or other long-term secrets are not stored in plaintext in external SPI NOR flash.</t>
  </si>
  <si>
    <t xml:space="preserve">MVC-107903</t>
  </si>
  <si>
    <t xml:space="preserve">The SW shall bind security-relevant firmware or protected storage data to device-unique identity or device-unique cryptographic material [X] [device UID, OTP secret, OTP-derived DEK, device-unique cryptographic material].</t>
  </si>
  <si>
    <t xml:space="preserve">Verify that security-relevant firmware or protected storage data is bound to device-unique identity or device-unique cryptographic material.</t>
  </si>
  <si>
    <t xml:space="preserve">MVC-107927</t>
  </si>
  <si>
    <t xml:space="preserve">The SW shall prevent operation of security-relevant firmware or protected data on unauthorized cloned hardware when SPI NOR flash contents are copied to another device.</t>
  </si>
  <si>
    <t xml:space="preserve">Verify that copying SPI NOR flash contents to another unauthorized device does not allow operation of security-relevant firmware or protected data.</t>
  </si>
  <si>
    <t xml:space="preserve">MVC-107925</t>
  </si>
  <si>
    <t xml:space="preserve">The SW shall accept for execution only OEM-approved RSA-signed production firmware images that pass secure boot verification.</t>
  </si>
  <si>
    <t xml:space="preserve">Verify that only OEM-approved RSA-signed production firmware images that pass secure boot verification are accepted for execution. Unsigned or non-approved images shall be rejected.</t>
  </si>
  <si>
    <t xml:space="preserve">MVC-107931</t>
  </si>
  <si>
    <t xml:space="preserve">The SW shall use only approved public verification material [X] [RSA public verification key, RSA public key hash, authenticated provisioning artifact] provisioned into SoC OTP/eFuse for production secure boot verification.</t>
  </si>
  <si>
    <t xml:space="preserve">Verify that only approved public verification material provisioned into SoC OTP/eFuse is used for production secure boot verification.</t>
  </si>
  <si>
    <t xml:space="preserve">MVC-107929</t>
  </si>
  <si>
    <t xml:space="preserve">The SW shall not use, access, request, or depend on the OEM production RSA private signing key in the ECU runtime or production boot verification flow.</t>
  </si>
  <si>
    <t xml:space="preserve">Verify that the SW does not use, access, request, or depend on the OEM production RSA private signing key in ECU runtime or production boot verification flow.</t>
  </si>
  <si>
    <t xml:space="preserve">MVC-107937</t>
  </si>
  <si>
    <t xml:space="preserve">23.5 DRAM secure interface</t>
  </si>
  <si>
    <t xml:space="preserve">The SW shall enable DRAM memory scrambling according to the configured production policy [X] [enabled in production, disabled only in development builds].</t>
  </si>
  <si>
    <t xml:space="preserve">Verify that DRAM memory scrambling is enabled according to the configured production policy. In production mode, DRAM scrambling shall be enabled unless the approved policy explicitly allows disabling only for development builds.</t>
  </si>
  <si>
    <t xml:space="preserve">MVC-107936</t>
  </si>
  <si>
    <t xml:space="preserve">The SW shall configure DRAM memory scrambling during the approved secure startup stage [X] [BST, secure bootstrap, early bootloader] before normal runtime execution.</t>
  </si>
  <si>
    <t xml:space="preserve">Verify that DRAM memory scrambling is configured during the approved secure startup stage, such as BST, secure bootstrap, or early bootloader, before normal runtime execution starts.</t>
  </si>
  <si>
    <t xml:space="preserve">MVC-107940</t>
  </si>
  <si>
    <t xml:space="preserve">The SW shall configure the SoC DRAM controller AES encrypt/decrypt engine such that all writes to external DRAM pass through the encryption path and all reads from external DRAM pass through the decryption path.</t>
  </si>
  <si>
    <t xml:space="preserve">Verify that the SoC DRAM controller AES encrypt/decrypt engine is configured so that all writes to external DRAM pass through the encryption path and all reads from external DRAM pass through the decryption path.</t>
  </si>
  <si>
    <t xml:space="preserve">MVC-107939</t>
  </si>
  <si>
    <t xml:space="preserve">The SW shall generate the DRAM memory scrambling key during secure boot using the configured entropy source [X] [SoC internal TRNG, Ambarella TRNG module/API].</t>
  </si>
  <si>
    <t xml:space="preserve">Verify that the DRAM memory scrambling key is generated during secure boot using the configured entropy source, such as SoC internal TRNG or Ambarella TRNG module/API.</t>
  </si>
  <si>
    <t xml:space="preserve">MVC-107942</t>
  </si>
  <si>
    <t xml:space="preserve">The SW shall generate or configure the DRAM memory scrambling key with the configured AES key length [X] [SoC default AES key length, 128-bit, 256-bit].</t>
  </si>
  <si>
    <t xml:space="preserve">Verify that the generated or configured DRAM memory scrambling key uses the configured AES key length, such as SoC default AES key length, 128-bit, or 256-bit.</t>
  </si>
  <si>
    <t xml:space="preserve">MVC-107941</t>
  </si>
  <si>
    <t xml:space="preserve">The SW shall load the DRAM memory scrambling key into the configured write-only DRAM key register [X] [SoC write-only DRAM key register, Ambarella-approved write-only DRAM key register].</t>
  </si>
  <si>
    <t xml:space="preserve">Verify that the DRAM memory scrambling key is loaded only into the configured write-only DRAM key register.</t>
  </si>
  <si>
    <t xml:space="preserve">MVC-107935</t>
  </si>
  <si>
    <t xml:space="preserve">The SW shall not provide any runtime software path to read back the DRAM memory scrambling key after it has been written to the write-only DRAM key register.</t>
  </si>
  <si>
    <t xml:space="preserve">Verify that no runtime software path exists to read back the DRAM memory scrambling key after it has been written to the write-only DRAM key register. Any attempted read-back shall fail or return no key material.</t>
  </si>
  <si>
    <t xml:space="preserve">MVC-107958</t>
  </si>
  <si>
    <t xml:space="preserve">The SW shall configure the DRAM controller Address Translation Table for each configured DRAM client [X] [CPU, ISP, Video Codec, ETH-DMA, DSP, other DMA-capable clients].</t>
  </si>
  <si>
    <t xml:space="preserve">Verify that the DRAM controller Address Translation Table is configured for each configured DRAM client, such as CPU, ISP, Video Codec, ETH-DMA, DSP, and other DMA-capable clients.</t>
  </si>
  <si>
    <t xml:space="preserve">MVC-107957</t>
  </si>
  <si>
    <t xml:space="preserve">The SW shall assign each DRAM client only to its authorized physical memory range [X] [start address, end address, size].</t>
  </si>
  <si>
    <t xml:space="preserve">Verify that each DRAM client is assigned only to its authorized physical memory range according to the configured start address, end address, and size.</t>
  </si>
  <si>
    <t xml:space="preserve">MVC-107960</t>
  </si>
  <si>
    <t xml:space="preserve">The SW shall configure DRAM access ranges during secure startup before enabling normal runtime execution and before enabling DMA-capable clients.</t>
  </si>
  <si>
    <t xml:space="preserve">Verify that DRAM access ranges are configured during secure startup before normal runtime execution and before DMA-capable clients are enabled.</t>
  </si>
  <si>
    <t xml:space="preserve">MVC-107959</t>
  </si>
  <si>
    <t xml:space="preserve">The SW shall define ATT access permissions for each DRAM client and memory range according to the configured permission set [X] [Read, Write, Read/Write, No Access].</t>
  </si>
  <si>
    <t xml:space="preserve">Verify that ATT access permissions are defined for each DRAM client and memory range according to the configured permission set: Read, Write, Read/Write, or No Access.</t>
  </si>
  <si>
    <t xml:space="preserve">MVC-107954</t>
  </si>
  <si>
    <t xml:space="preserve">The SW shall prevent DMA-capable clients from accessing DRAM regions outside their configured ATT access ranges.</t>
  </si>
  <si>
    <t xml:space="preserve">Verify that DMA-capable clients are prevented from accessing DRAM regions outside their configured ATT access ranges. Unauthorized access attempts shall be blocked or handled according to the configured policy.</t>
  </si>
  <si>
    <t xml:space="preserve">MVC-107953</t>
  </si>
  <si>
    <t xml:space="preserve">The SW shall apply the configured DMA/ATT violation handling policy [X] [block access, raise interrupt, report error signal, trigger controlled reset] when an unauthorized DRAM access attempt is detected.</t>
  </si>
  <si>
    <t xml:space="preserve">Verify that the configured DMA/ATT violation handling policy is applied when an unauthorized DRAM access attempt is detected, such as block access, raise interrupt, report error signal, or trigger controlled reset.</t>
  </si>
  <si>
    <t xml:space="preserve">MVC-107956</t>
  </si>
  <si>
    <t xml:space="preserve">The SW shall isolate security-sensitive DRAM regions from non-authorized runtime software and unauthorized DRAM clients.</t>
  </si>
  <si>
    <t xml:space="preserve">Verify that security-sensitive DRAM regions are isolated from non-authorized runtime software and unauthorized DRAM clients.</t>
  </si>
  <si>
    <t xml:space="preserve">MVC-107955</t>
  </si>
  <si>
    <t xml:space="preserve">The SW shall include the configured security-sensitive DRAM regions in the protected memory map [X] [secure boot buffers, crypto working buffers, key-derivation temporary buffers, debug-authentication temporary buffers, security-relevant runtime buffers].</t>
  </si>
  <si>
    <t xml:space="preserve">Verify that all configured security-sensitive DRAM regions are included in the protected memory map, including secure boot buffers, crypto working buffers, key-derivation temporary buffers, debug-authentication temporary buffers, and security-relevant runtime buffers.</t>
  </si>
  <si>
    <t xml:space="preserve">MVC-107962</t>
  </si>
  <si>
    <t xml:space="preserve">The SW shall use the configured SoC-supported DRAM protection mechanisms [X] [ATT access control, secure boot-time memory map configuration, SoC hardware access restrictions] to enforce isolation of security-sensitive DRAM regions.</t>
  </si>
  <si>
    <t xml:space="preserve">Verify that the configured SoC-supported DRAM protection mechanisms are used to enforce isolation of security-sensitive DRAM regions, such as ATT access control, secure boot-time memory map configuration, and SoC hardware access restrictions.</t>
  </si>
  <si>
    <t xml:space="preserve">MVC-107961</t>
  </si>
  <si>
    <t xml:space="preserve">The SW shall protect the DRAM security configuration from modification by non-authorized runtime software after secure startup.</t>
  </si>
  <si>
    <t xml:space="preserve">Verify that the DRAM security configuration cannot be modified by non-authorized runtime software after secure startup.</t>
  </si>
  <si>
    <t xml:space="preserve">MVC-107952</t>
  </si>
  <si>
    <t xml:space="preserve">The SW shall protect the memory scrambling configuration after secure startup using the configured protection mechanism [X] [secure boot-time lock, SoC register protection, privileged-only access, OEM-approved configuration lock].</t>
  </si>
  <si>
    <t xml:space="preserve">Verify that the memory scrambling configuration is protected after secure startup using the configured protection mechanism, such as secure boot-time lock, SoC register protection, privileged-only access, or OEM-approved configuration lock.</t>
  </si>
  <si>
    <t xml:space="preserve">MVC-107948</t>
  </si>
  <si>
    <t xml:space="preserve">The SW shall protect the DRAM key register configuration after secure startup using the configured protection mechanism [X] [secure boot-time lock, SoC register protection, privileged-only access, OEM-approved configuration lock].</t>
  </si>
  <si>
    <t xml:space="preserve">Verify that the DRAM key register configuration is protected after secure startup using the configured protection mechanism. Unauthorized runtime modification shall be prevented.</t>
  </si>
  <si>
    <t xml:space="preserve">MVC-107947</t>
  </si>
  <si>
    <t xml:space="preserve">The SW shall protect the ATT client configuration, ATT access ranges, and ATT access permissions from unauthorized modification after secure startup.</t>
  </si>
  <si>
    <t xml:space="preserve">Verify that ATT client configuration, ATT access ranges, and ATT access permissions are protected from unauthorized modification after secure startup.</t>
  </si>
  <si>
    <t xml:space="preserve">MVC-107950</t>
  </si>
  <si>
    <t xml:space="preserve">The SW shall ensure that final ATT ranges and permissions are derived from the approved memory map before enabling DMA-capable clients.</t>
  </si>
  <si>
    <t xml:space="preserve">Verify that the final ATT ranges and permissions are derived from the approved memory map before enabling DMA-capable clients.</t>
  </si>
  <si>
    <t xml:space="preserve">MVC-107949</t>
  </si>
  <si>
    <t xml:space="preserve">The SW shall configure unauthorized or unused DRAM regions with No Access permissions where supported by the ATT policy.</t>
  </si>
  <si>
    <t xml:space="preserve">Verify that unauthorized or unused DRAM regions are configured with No Access permissions where supported by the ATT policy.</t>
  </si>
  <si>
    <t xml:space="preserve">MVC-107944</t>
  </si>
  <si>
    <t xml:space="preserve">The SW shall prevent non-secure runtime software from modifying DRAM scrambling, key register, ATT range, or ATT permission configuration after the secure startup configuration is locked.</t>
  </si>
  <si>
    <t xml:space="preserve">Verify that non-secure runtime software cannot modify DRAM scrambling, key register, ATT range, or ATT permission configuration after the secure startup configuration is locked.</t>
  </si>
  <si>
    <t xml:space="preserve">MVC-107943</t>
  </si>
  <si>
    <t xml:space="preserve">The SW shall report or handle ATT violation events according to the configured violation policy and platform-supported reporting mechanism.</t>
  </si>
  <si>
    <t xml:space="preserve">Verify that ATT violation events are reported or handled according to the configured violation policy and platform-supported reporting mechanism.</t>
  </si>
  <si>
    <t xml:space="preserve">MVC-107946</t>
  </si>
  <si>
    <t xml:space="preserve">The SW shall ensure that DRAM scrambling and ATT protection are configured before any security-sensitive data is placed in external DRAM.</t>
  </si>
  <si>
    <t xml:space="preserve">Verify that DRAM scrambling and ATT protection are configured before any security-sensitive data is placed in external DRAM.</t>
  </si>
  <si>
    <t xml:space="preserve">MVC-107945</t>
  </si>
  <si>
    <t xml:space="preserve">The SW shall ensure that DMA-capable clients are enabled only after their ATT ranges and access permissions have been configured.</t>
  </si>
  <si>
    <t xml:space="preserve">Verify that DMA-capable clients are enabled only after their ATT ranges and access permissions have been configured.</t>
  </si>
  <si>
    <t xml:space="preserve">MVC-107951</t>
  </si>
  <si>
    <t xml:space="preserve">The SW shall maintain the DRAM protection configuration consistently with the approved production memory map and shall not allow runtime reconfiguration outside authorized secure startup flow.</t>
  </si>
  <si>
    <t xml:space="preserve">Verify that the DRAM protection configuration remains consistent with the approved production memory map and that runtime reconfiguration outside the authorized secure startup flow is not allowed.</t>
  </si>
  <si>
    <t xml:space="preserve">MVC-107938</t>
  </si>
  <si>
    <t xml:space="preserve">The SW shall treat any access attempt outside a configured ATT range as a security-relevant event and shall apply the configured violation handling response.</t>
  </si>
  <si>
    <t xml:space="preserve">Verify that any access attempt outside a configured ATT range is treated as a security-relevant event and that the configured violation handling response is applied.</t>
  </si>
  <si>
    <t xml:space="preserve">Outline</t>
  </si>
  <si>
    <t xml:space="preserve">Requirement</t>
  </si>
  <si>
    <t xml:space="preserve">CAL</t>
  </si>
  <si>
    <t xml:space="preserve">Verification method</t>
  </si>
  <si>
    <t xml:space="preserve">Verification criteria (from concept)</t>
  </si>
  <si>
    <t xml:space="preserve">Satisfied by (technical reqs)</t>
  </si>
  <si>
    <t xml:space="preserve">Satisfies (concept reqs)</t>
  </si>
  <si>
    <t xml:space="preserve">Proposed test ID</t>
  </si>
  <si>
    <t xml:space="preserve">MVC-103063</t>
  </si>
  <si>
    <t xml:space="preserve">2.2.1.1.1-1</t>
  </si>
  <si>
    <t xml:space="preserve">SOW1 - SOW2 interface &gt; ROT key storage</t>
  </si>
  <si>
    <t xml:space="preserve">The system shall store the trusted 2048bit Samsung Root Public Key in OTP memory.</t>
  </si>
  <si>
    <t xml:space="preserve">CAL 2</t>
  </si>
  <si>
    <t xml:space="preserve">Test</t>
  </si>
  <si>
    <t xml:space="preserve">Verify that the trusted 2048-bit Samsung Root Public Key is provisioned in OTP memory. 
Verify that the key remains unchanged after a system reset or restart and cannot be overwritten through normal system interfaces.</t>
  </si>
  <si>
    <t xml:space="preserve">MVC-106562</t>
  </si>
  <si>
    <t xml:space="preserve">(covered by CS-SOW1-001)</t>
  </si>
  <si>
    <t xml:space="preserve">System</t>
  </si>
  <si>
    <t xml:space="preserve">MVC-107642</t>
  </si>
  <si>
    <t xml:space="preserve">2.2.1.1.2-1</t>
  </si>
  <si>
    <t xml:space="preserve">SOW1 - SOW2 interface &gt; SOW1 device authentication</t>
  </si>
  <si>
    <t xml:space="preserve">The system shall authenticate the Imager by verifying the digital signature received from the Imager over the I2C interface using the provisioned Samsung Root Public Key.</t>
  </si>
  <si>
    <t xml:space="preserve">Verify that the system authenticates the Imager by verifying the digital signature received over I2C using the provisioned Samsung Root Public Key.
Authentication shall succeed for a valid signature and fail for an invalid signature, modified authentication data, or a signature generated using a non-trusted key.</t>
  </si>
  <si>
    <t xml:space="preserve">MVC-106561, MVC-106565, MVC-106563</t>
  </si>
  <si>
    <t xml:space="preserve">(covered by CS-SOW1-002, CS-SOW1-003, CS-SOW1-004)</t>
  </si>
  <si>
    <t xml:space="preserve">MVC-107641</t>
  </si>
  <si>
    <t xml:space="preserve">2.2.1.1.2-2</t>
  </si>
  <si>
    <t xml:space="preserve">The system shall use RSASSA-PSS with SHA-256 to verify the Imager's digital signature.</t>
  </si>
  <si>
    <t xml:space="preserve">Verify that the Imager signature verification operation uses RSASSA-PSS with SHA-256. 
Confirm successful verification using a valid test signature generated with the corresponding private key and failure when the signature, signed data, or public key is modified.</t>
  </si>
  <si>
    <t xml:space="preserve">No technical requirement is linked to this one in the TECH workbook. MVC-106563 (CS-SOW1-004) verifies RSASSA-PSS with SHA-256, so the link is probably missing in Polarion: confirm</t>
  </si>
  <si>
    <t xml:space="preserve">MVC-103053</t>
  </si>
  <si>
    <t xml:space="preserve">2.2.1.1.2-3</t>
  </si>
  <si>
    <t xml:space="preserve">The system shall retry the Imager authentication process up to three times if the expected authentication data is failed to be received.</t>
  </si>
  <si>
    <t xml:space="preserve">Verify that when the expected authentication data is not received, the system retries the Imager authentication process according to the configured retry policy, up to the specified maximum of three retries. 
Verify that authentication proceeds successfully if the expected data is received within the allowed attempts.</t>
  </si>
  <si>
    <t xml:space="preserve">MVC-106566</t>
  </si>
  <si>
    <t xml:space="preserve">(covered by CS-SOW1-005)</t>
  </si>
  <si>
    <t xml:space="preserve">MVC-103051</t>
  </si>
  <si>
    <t xml:space="preserve">2.2.1.1.2-4</t>
  </si>
  <si>
    <t xml:space="preserve">The system shall terminate the Imager authentication process if authentication is not successfully completed within the configured maximum number of retry attempts</t>
  </si>
  <si>
    <t xml:space="preserve">Verify that the Imager authentication process terminates when authentication cannot be completed within the configured maximum retry attempts. 
Confirm that the system does not continue retrying indefinitely and does not treat the Imager as authenticated after termination.</t>
  </si>
  <si>
    <t xml:space="preserve">MVC-106569</t>
  </si>
  <si>
    <t xml:space="preserve">(covered by CS-SOW1-006)</t>
  </si>
  <si>
    <t xml:space="preserve">MVC-103040</t>
  </si>
  <si>
    <t xml:space="preserve">2.2.1.1.3-1</t>
  </si>
  <si>
    <t xml:space="preserve">SOW1 - SOW2 interface &gt; Session Key sharing</t>
  </si>
  <si>
    <t xml:space="preserve">Following successful authentication, The system shall extract 2048-bit device public key from the Imager's authentication data.</t>
  </si>
  <si>
    <t xml:space="preserve">Verify that, following successful Imager authentication, the system correctly extracts the 2048-bit device public key from the Imager's authentication data. 
Confirm that the extracted key matches the reference key and that missing, malformed, or incorrectly sized public-key data is not accepted as a valid key.</t>
  </si>
  <si>
    <t xml:space="preserve">MVC-106577</t>
  </si>
  <si>
    <t xml:space="preserve">(covered by CS-SOW1-012)</t>
  </si>
  <si>
    <t xml:space="preserve">MVC-103057</t>
  </si>
  <si>
    <t xml:space="preserve">2.2.1.1.3-2</t>
  </si>
  <si>
    <t xml:space="preserve">The system shall generate a 256-bit cryptographically random session key (SSK) following successful Imager authentication.</t>
  </si>
  <si>
    <t xml:space="preserve">Verify that the system generates a 256-bit session key (SSK) following successful Imager authentication. 
Confirm that the generated key has the required 256-bit length and that a new session key is generated for each new secure session.</t>
  </si>
  <si>
    <t xml:space="preserve">MVC-106568</t>
  </si>
  <si>
    <t xml:space="preserve">(covered by CS-SOW1-010)</t>
  </si>
  <si>
    <t xml:space="preserve">MVC-103042</t>
  </si>
  <si>
    <t xml:space="preserve">2.2.1.1.3-3</t>
  </si>
  <si>
    <t xml:space="preserve">The system shall use a CSPRNG compliant with NIST SP 800-90A and seeded by a hardware TRNG to generate the 256-bit session key.</t>
  </si>
  <si>
    <t xml:space="preserve">Verify that session-key generation uses a CSPRNG compliant with NIST SP 800-90A and seeded by a hardware TRNG. 
Verify that session-key generation fails securely if the required random-number generation mechanism is unavailable or reports an error.</t>
  </si>
  <si>
    <t xml:space="preserve">MVC-106560</t>
  </si>
  <si>
    <t xml:space="preserve">(covered by CS-SOW1-011)</t>
  </si>
  <si>
    <t xml:space="preserve">MVC-103055</t>
  </si>
  <si>
    <t xml:space="preserve">2.2.1.1.3-4</t>
  </si>
  <si>
    <t xml:space="preserve">The system shall encrypt the session key and selected row information using the 2048-bit device public key with RSAES-OAEP and SHA-256.
Note: Row information format is defined by Samsung, which is described in ‘5 Key sharing’ chapter in S5K3B6SA - Cybersecurity Application note documnet.</t>
  </si>
  <si>
    <t xml:space="preserve">Verify that the system encrypts the 256-bit SSK and selected row information using the extracted 2048-bit device public key with RSAES-OAEP and SHA-256. Confirm that the intended recipient can decrypt the output using the corresponding private key and recover the expected session key and row information. 
Verify that decryption using a different private key fails.</t>
  </si>
  <si>
    <t xml:space="preserve">MVC-106576, MVC-108741, MVC-106574, MVC-106580</t>
  </si>
  <si>
    <t xml:space="preserve">(covered by CS-SOW1-007, CS-SOW1-008, CS-SOW1-009, CS-SOW1-013)</t>
  </si>
  <si>
    <t xml:space="preserve">MVC-103034</t>
  </si>
  <si>
    <t xml:space="preserve">2.2.1.1.3-5</t>
  </si>
  <si>
    <t xml:space="preserve">The system shall transmit the 2048bit Encrypted Session Key and row information to the Imager for secure session establishment.</t>
  </si>
  <si>
    <t xml:space="preserve">Verify that, after successful session-key encryption, the system transmits the encrypted session key and selected row information to the Imager. 
Confirm that the transmitted message contains the required data in the agreed format and that the encrypted session key corresponds to the generated SSK.</t>
  </si>
  <si>
    <t xml:space="preserve">MVC-106578</t>
  </si>
  <si>
    <t xml:space="preserve">(covered by CS-SOW1-014)</t>
  </si>
  <si>
    <t xml:space="preserve">MVC-113706</t>
  </si>
  <si>
    <t xml:space="preserve">2.2.1.1.3-6</t>
  </si>
  <si>
    <t xml:space="preserve">The system shall not expose the active session key through any accessible interface during the active secure session.</t>
  </si>
  <si>
    <t xml:space="preserve">Verify that the active SSK is not exposed through accessible interfaces during an active secure session. Inspect relevant diagnostic, debug, communication, and externally accessible interfaces to confirm that the key is not returned or transmitted in plaintext.</t>
  </si>
  <si>
    <t xml:space="preserve">MVC-106571</t>
  </si>
  <si>
    <t xml:space="preserve">(covered by CS-SOW1-015)</t>
  </si>
  <si>
    <t xml:space="preserve">MVC-103046</t>
  </si>
  <si>
    <t xml:space="preserve">2.2.1.1.3-7</t>
  </si>
  <si>
    <t xml:space="preserve">The system shall retry secure session establishment up to three times if the expected response is failed to be received.</t>
  </si>
  <si>
    <t xml:space="preserve">Verify that the system retries secure session establishment when the expected response is not received. 
Confirm that the retry behavior follows the specified maximum of three retries and that the system can establish the session if a valid response is received within the allowed attempts.</t>
  </si>
  <si>
    <t xml:space="preserve">MVC-106567</t>
  </si>
  <si>
    <t xml:space="preserve">(covered by CS-SOW1-016)</t>
  </si>
  <si>
    <t xml:space="preserve">MVC-103044</t>
  </si>
  <si>
    <t xml:space="preserve">2.2.1.1.3-8</t>
  </si>
  <si>
    <t xml:space="preserve">The system shall terminate secure session establishment if a secure session is not successfully established after three retry attempts.</t>
  </si>
  <si>
    <t xml:space="preserve">Verify that secure session establishment terminates when the session cannot be established after the permitted three retry attempts. 
Confirm that the system does not report a successful session, activate the SSK for secured communication, or continue retrying indefinitely.</t>
  </si>
  <si>
    <t xml:space="preserve">MVC-106581</t>
  </si>
  <si>
    <t xml:space="preserve">(covered by CS-SOW1-017)</t>
  </si>
  <si>
    <t xml:space="preserve">MVC-103036</t>
  </si>
  <si>
    <t xml:space="preserve">2.2.1.1.3-9</t>
  </si>
  <si>
    <t xml:space="preserve">The system shall require establishment of a new secure session, including full SOW1 authentication and generation of a new session key (SSK), after session expiry, system reset, system restart, session termination, or detection of a security failure.</t>
  </si>
  <si>
    <t xml:space="preserve">Verify that a new secure session, including full SOW1 authentication and generation of a new SSK, is required after each specified trigger: session expiry, system reset, system restart, session termination, and detection of a security failure. Confirm that the previous session is no longer accepted and that secured communication resumes only after successful reauthentication and session establishment.</t>
  </si>
  <si>
    <t xml:space="preserve">MVC-106573</t>
  </si>
  <si>
    <t xml:space="preserve">(covered by CS-SOW1-018)</t>
  </si>
  <si>
    <t xml:space="preserve">MVC-119708</t>
  </si>
  <si>
    <t xml:space="preserve">2.2.1.1.4-1</t>
  </si>
  <si>
    <t xml:space="preserve">SOW1 - SOW2 interface &gt; Streaming video Requirements (SOW1 -&gt; SOW2)</t>
  </si>
  <si>
    <t xml:space="preserve">The system shall not accept SOW1 secured video stream data as trusted before successful SOW1 device authentication and secure session establishment.</t>
  </si>
  <si>
    <t xml:space="preserve">Verify that SOW1 secured video stream data is not accepted or processed as trusted before successful SOW1 device authentication and secure session establishment. 
Confirm that frames received before authentication, during failed session establishment, and after session termination are not treated as trusted data.</t>
  </si>
  <si>
    <t xml:space="preserve">MVC-109120</t>
  </si>
  <si>
    <t xml:space="preserve">(covered by CS-SOW1-024)</t>
  </si>
  <si>
    <t xml:space="preserve">MVC-113705</t>
  </si>
  <si>
    <t xml:space="preserve">2.2.1.1.4-2</t>
  </si>
  <si>
    <t xml:space="preserve">The system shall extract the received 128-bit AES-CMAC authentication tag from the embedded footer of each received SOW1 video frame.</t>
  </si>
  <si>
    <t xml:space="preserve">Verify that the system correctly extracts the 128-bit AES-CMAC authentication tag from the embedded footer of each received SOW1 video frame. 
Confirm that the extracted tag matches the tag placed in the footer by the test-frame generator and that malformed or missing footer data is handled according to the defined error-handling policy.</t>
  </si>
  <si>
    <t xml:space="preserve">MVC-106572</t>
  </si>
  <si>
    <t xml:space="preserve">(covered by CS-SOW1-019)</t>
  </si>
  <si>
    <t xml:space="preserve">MVC-103033</t>
  </si>
  <si>
    <t xml:space="preserve">2.2.1.1.4-3</t>
  </si>
  <si>
    <t xml:space="preserve">The system shall calculate a 128-bit AES-CMAC tag over the selected rows of each video frame using the active 256-bit session key.</t>
  </si>
  <si>
    <t xml:space="preserve">Verify that the system calculates a 128-bit AES-CMAC tag over the specified selected rows of each video frame using the active 256-bit SSK. 
Compare the calculated tag against an independently generated reference tag for known test frames. 
Confirm that changes to authenticated row data produce a different tag, except for the negligible probability of a cryptographic collision.</t>
  </si>
  <si>
    <t xml:space="preserve">MVC-106583</t>
  </si>
  <si>
    <t xml:space="preserve">(covered by CS-SOW1-020)</t>
  </si>
  <si>
    <t xml:space="preserve">MVC-119709</t>
  </si>
  <si>
    <t xml:space="preserve">2.2.1.1.4-4</t>
  </si>
  <si>
    <t xml:space="preserve">The system shall verify the integrity and authenticity of each video frame by comparing the calculated AES-CMAC tag with the 128-bit CMAC tag received in the frame footer.</t>
  </si>
  <si>
    <t xml:space="preserve">Verify that the system compares the calculated AES-CMAC tag against the 128-bit tag extracted from the frame footer. Confirm that a frame with a matching tag passes verification and a frame with an incorrect, modified, or invalid tag fails verification.</t>
  </si>
  <si>
    <t xml:space="preserve">MVC-106582</t>
  </si>
  <si>
    <t xml:space="preserve">(covered by CS-SOW1-021)</t>
  </si>
  <si>
    <t xml:space="preserve">MVC-119710</t>
  </si>
  <si>
    <t xml:space="preserve">2.2.1.1.4-5</t>
  </si>
  <si>
    <t xml:space="preserve">The system shall reject any received SOW1 video frame if AES-CMAC verification fails.</t>
  </si>
  <si>
    <t xml:space="preserve">Verify that a received SOW1 video frame is rejected when AES-CMAC verification fails. 
Confirm that the failed frame is not forwarded or consumed as trusted video data by downstream processing.</t>
  </si>
  <si>
    <t xml:space="preserve">MVC-106564</t>
  </si>
  <si>
    <t xml:space="preserve">(covered by CS-SOW1-022)</t>
  </si>
  <si>
    <t xml:space="preserve">MVC-103031</t>
  </si>
  <si>
    <t xml:space="preserve">2.2.1.1.4-6</t>
  </si>
  <si>
    <t xml:space="preserve">The system shall extract the video frame counter from the embedded header data of each received SOW1 video frame and use the counter value for freshness validation.</t>
  </si>
  <si>
    <t xml:space="preserve">Verify that the system correctly extracts the frame counter from the embedded header of each received SOW1 video frame and supplies the extracted value to the freshness-validation mechanism. 
Confirm correct extraction using frames with known counter values and correct handling of malformed or missing counter data.</t>
  </si>
  <si>
    <t xml:space="preserve">MVC-106575, MVC-113726</t>
  </si>
  <si>
    <t xml:space="preserve">(covered by CS-SOW1-023, CS-SOW1-025)</t>
  </si>
  <si>
    <t xml:space="preserve">MVC-113703</t>
  </si>
  <si>
    <t xml:space="preserve">2.2.1.1.4-7</t>
  </si>
  <si>
    <t xml:space="preserve">The system shall reject duplicated, stale, or out-of-order SOW1 video frames based on a 3-frame freshness window and shall accept a frame only when its frame counter satisfies LastAcceptedCounter &lt; ReceivedCounter ≤ LastAcceptedCounter + 3.</t>
  </si>
  <si>
    <t xml:space="preserve">Verify that the system accepts a frame only when its counter satisfies LastAcceptedCounter &lt; ReceivedCounter ≤ LastAcceptedCounter + 3. Test an in-window counter, the upper boundary (LastAcceptedCounter + 3), a duplicate counter, a stale counter, an out-of-order counter, and a counter greater than the upper boundary.
Confirm that only frames satisfying the specified acceptance condition are accepted.</t>
  </si>
  <si>
    <t xml:space="preserve">MVC-113727</t>
  </si>
  <si>
    <t xml:space="preserve">(covered by CS-SOW1-026)</t>
  </si>
  <si>
    <t xml:space="preserve">MVC-119714</t>
  </si>
  <si>
    <t xml:space="preserve">2.2.1.1.5-1</t>
  </si>
  <si>
    <t xml:space="preserve">SOW1 - SOW2 interface &gt; SOW1 Commands Requirements (SOW2 -&gt; SOW1)</t>
  </si>
  <si>
    <t xml:space="preserve">The system shall not transmit SOW1 control commands before successful SOW1 device authentication.</t>
  </si>
  <si>
    <t xml:space="preserve">Verify that the system does not transmit SOW1 control commands before successful SOW1 device authentication. 
Attempt command transmission before authentication, after authentication failure, and before secure session establishment. 
Confirm that no control command is transmitted in these conditions and that transmission is permitted only after the required authentication succeeds.</t>
  </si>
  <si>
    <t xml:space="preserve">MVC-109119</t>
  </si>
  <si>
    <t xml:space="preserve">(covered by CS-SOW1-027)</t>
  </si>
  <si>
    <t xml:space="preserve">MVC-113701</t>
  </si>
  <si>
    <t xml:space="preserve">2.2.1.1.5-2</t>
  </si>
  <si>
    <t xml:space="preserve">The system shall calculate a 128-bit AES-CMAC over each SOW1 control command using the established 256-bit session key.</t>
  </si>
  <si>
    <t xml:space="preserve">Verify that the system calculates a 128-bit AES-CMAC over each SOW1 control command using the established 256-bit SSK. 
Compare the calculated tag with an independently generated reference tag for representative commands and confirm that changes to authenticated command data result in a verification mismatch.</t>
  </si>
  <si>
    <t xml:space="preserve">MVC-108740</t>
  </si>
  <si>
    <t xml:space="preserve">(covered by CS-SOW1-028)</t>
  </si>
  <si>
    <t xml:space="preserve">MVC-119707</t>
  </si>
  <si>
    <t xml:space="preserve">2.2.1.1.5-3</t>
  </si>
  <si>
    <t xml:space="preserve">The system shall append the calculated 128-bit AES-CMAC tag to each SOW1 control command before transmission.</t>
  </si>
  <si>
    <t xml:space="preserve">Verify that the system appends the calculated 128-bit AES-CMAC tag to each SOW1 control command before transmission. 
Confirm that the transmitted command contains the original command data.</t>
  </si>
  <si>
    <t xml:space="preserve">MVC-106570</t>
  </si>
  <si>
    <t xml:space="preserve">(covered by CS-SOW1-029)</t>
  </si>
  <si>
    <t xml:space="preserve">MVC-113702</t>
  </si>
  <si>
    <t xml:space="preserve">2.2.1.1.5-4</t>
  </si>
  <si>
    <t xml:space="preserve">The system shall include a monotonically increasing Counter in each SOW1 control command transmitted.</t>
  </si>
  <si>
    <t xml:space="preserve">Verify that each transmitted SOW1 control command contains a monotonically increasing counter. 
Confirm that the counter increases for successive commands and does not repeat or decrease during normal operation within a session.</t>
  </si>
  <si>
    <t xml:space="preserve">MVC-109121</t>
  </si>
  <si>
    <t xml:space="preserve">(covered by CS-SOW1-030)</t>
  </si>
  <si>
    <t xml:space="preserve">MVC-103061</t>
  </si>
  <si>
    <t xml:space="preserve">2.2.3-1</t>
  </si>
  <si>
    <t xml:space="preserve">System Cybersecurity Requirements &gt; Secure Debug</t>
  </si>
  <si>
    <t xml:space="preserve">The system shall keep the hardware debug interfaces, including JTAG, locked by default when the ECU operates in locked mode and shall permit debug unlocking through an authorized challenge-response authentication mechanism.</t>
  </si>
  <si>
    <t xml:space="preserve">CAL 1</t>
  </si>
  <si>
    <t xml:space="preserve">Set the ECU to locked mode and attempt to access the hardware debug interfaces, including JTAG, without completing an authorized challenge-response transaction. The verification passes if the interfaces remain locked by default, failed or unauthorized transactions do not unlock them, and access is enabled only after successful completion of an authorized challenge-response transaction.</t>
  </si>
  <si>
    <t xml:space="preserve">CS-DBG-001</t>
  </si>
  <si>
    <t xml:space="preserve">MVC-103060</t>
  </si>
  <si>
    <t xml:space="preserve">2.2.3-2</t>
  </si>
  <si>
    <t xml:space="preserve">The system shall receive debug-unlock requests through the designated debug service communication interface during runtime and shall keep hardware debug access locked until successful authentication.</t>
  </si>
  <si>
    <t xml:space="preserve">Send a valid debug-unlock request through the designated debug service communication interface while the ECU is operating at runtime. The verification passes if the request is received and processed through the designated interface and the hardware debug access remains locked until the authentication process completes successfully.</t>
  </si>
  <si>
    <t xml:space="preserve">CS-DBG-002</t>
  </si>
  <si>
    <t xml:space="preserve">MVC-103050</t>
  </si>
  <si>
    <t xml:space="preserve">2.2.3-3</t>
  </si>
  <si>
    <t xml:space="preserve">The system shall generate a fresh random debug authentication challenge using the platform True Random Number Generator (TRNG) after receiving a valid debug unlock request.</t>
  </si>
  <si>
    <t xml:space="preserve">Review</t>
  </si>
  <si>
    <t xml:space="preserve">Review the software design, implementation, and call flow. The verification passes if the platform TRNG is used as the source for generating a fresh random debug authentication challenge and challenge generation is triggered only after receipt of a valid debug-unlock request.</t>
  </si>
  <si>
    <t xml:space="preserve">CS-DBG-003</t>
  </si>
  <si>
    <t xml:space="preserve">MVC-103043</t>
  </si>
  <si>
    <t xml:space="preserve">2.2.3-4</t>
  </si>
  <si>
    <t xml:space="preserve">The system shall generate a unique debug authentication challenge for each debug unlock request and shall enforce a limited challenge validity period defined by the OEM.</t>
  </si>
  <si>
    <t xml:space="preserve">Initiate multiple debug-unlock transactions and record the generated challenges. The verification passes if each transaction receives a unique challenge, an otherwise valid response is accepted only within the OEM-defined challenge validity period, and a response received after expiry is rejected.</t>
  </si>
  <si>
    <t xml:space="preserve">CS-DBG-004</t>
  </si>
  <si>
    <t xml:space="preserve">MVC-103047</t>
  </si>
  <si>
    <t xml:space="preserve">2.2.3-6</t>
  </si>
  <si>
    <t xml:space="preserve">The system shall independently compute the expected AES-CMAC value using the derived DebugUnlockSessionKey and the active debug-unlock transaction context within the secure execution environment upon receiving a debug-unlock response.</t>
  </si>
  <si>
    <t xml:space="preserve">Review the software architecture, implementation, and debug-unlock processing flow. The verification passes if, upon receiving a debug-unlock response, the system independently computes the expected AES-CMAC value inside the secure execution environment using the derived DebugUnlockSessionKey and the active debug-unlock transaction context.</t>
  </si>
  <si>
    <t xml:space="preserve">CS-DBG-005</t>
  </si>
  <si>
    <t xml:space="preserve">MVC-103037</t>
  </si>
  <si>
    <t xml:space="preserve">2.2.3-8</t>
  </si>
  <si>
    <t xml:space="preserve">The system shall reject any expired, reused, malformed, invalid, unauthorized, or cryptographically incorrect debug unlock response.</t>
  </si>
  <si>
    <t xml:space="preserve">Submit separate debug-unlock responses representing expired, reused, malformed, invalid, unauthorized, and cryptographically incorrect cases. The verification passes if every tested response is rejected and the hardware debug interface remains locked.</t>
  </si>
  <si>
    <t xml:space="preserve">CS-DBG-006</t>
  </si>
  <si>
    <t xml:space="preserve">MVC-103039</t>
  </si>
  <si>
    <t xml:space="preserve">2.2.3-10</t>
  </si>
  <si>
    <t xml:space="preserve">The system shall unlock the hardware debug interface only after successful verification of the debug unlock response.</t>
  </si>
  <si>
    <t xml:space="preserve">Execute debug-unlock transactions using a successfully verified response and using failed, incomplete, or incorrect responses. The verification passes if the hardware debug interface is unlocked only after successful verification of the debug-unlock response and remains locked in all other cases.</t>
  </si>
  <si>
    <t xml:space="preserve">CS-DBG-007</t>
  </si>
  <si>
    <t xml:space="preserve">MVC-105883</t>
  </si>
  <si>
    <t xml:space="preserve">2.2.3-11</t>
  </si>
  <si>
    <t xml:space="preserve">The system shall derive a debug unlock session key using a CMAC Key Derivation Function (KDF)</t>
  </si>
  <si>
    <t xml:space="preserve">Derive a DebugUnlockSessionKey using defined test inputs and compare the generated key against the output of an approved reference CMAC Key Derivation Function. The verification passes if the derived key matches the expected CMAC-KDF output for all tested input sets.</t>
  </si>
  <si>
    <t xml:space="preserve">CS-DBG-008</t>
  </si>
  <si>
    <t xml:space="preserve">MVC-105881</t>
  </si>
  <si>
    <t xml:space="preserve">2.2.3-12</t>
  </si>
  <si>
    <t xml:space="preserve">The system shall store the derived debug unlock session key only in the DRAM.</t>
  </si>
  <si>
    <t xml:space="preserve">Review the memory architecture, memory map, linker configuration, and key-handling implementation. The verification passes if the derived DebugUnlockSessionKey is stored only in its designated DRAM location and no copy of the key is stored in non-DRAM or persistent memory.</t>
  </si>
  <si>
    <t xml:space="preserve">CS-DBG-009</t>
  </si>
  <si>
    <t xml:space="preserve">MVC-105887</t>
  </si>
  <si>
    <t xml:space="preserve">2.2.3-13</t>
  </si>
  <si>
    <t xml:space="preserve">The system shall securely erase the derived debug unlock session key, and intermediate cryptographic material from the DRAM after completion of the debug session, upon session termination, or upon authentication failure.</t>
  </si>
  <si>
    <t xml:space="preserve">Generate a DebugUnlockSessionKey and intermediate cryptographic material, then separately trigger debug-session completion, session termination, and authentication failure. The verification passes if inspection of the allocated DRAM locations after each trigger confirms that the derived key and intermediate cryptographic material are no longer recoverable.</t>
  </si>
  <si>
    <t xml:space="preserve">CS-DBG-010</t>
  </si>
  <si>
    <t xml:space="preserve">MVC-103038</t>
  </si>
  <si>
    <t xml:space="preserve">2.2.3-14</t>
  </si>
  <si>
    <t xml:space="preserve">The system shall permit debug access only for an authorized and time-limited debug session and shall automatically relock the debug interface after session timeout, Power-On Reset (POR), completion of debug activities, lifecycle transition, or detection of security violations.</t>
  </si>
  <si>
    <t xml:space="preserve">Complete an authorized debug-unlock transaction and verify that debug access is available only during the authorized, time-limited session. Separately trigger session timeout, Power-On Reset, completion of debug activities, lifecycle transition, and detection of a security violation. The verification passes if the hardware debug interface automatically relocks after every specified trigger and unauthorized access is not permitted.</t>
  </si>
  <si>
    <t xml:space="preserve">CS-DBG-011</t>
  </si>
  <si>
    <t xml:space="preserve">MVC-103049</t>
  </si>
  <si>
    <t xml:space="preserve">2.2.3-15</t>
  </si>
  <si>
    <t xml:space="preserve">The system shall limit repeated failed debug authentication attempts and temporarily block further attempts after a configurable threshold is reached.</t>
  </si>
  <si>
    <t xml:space="preserve">Perform consecutive failed debug-authentication attempts using the configured failure threshold. The verification passes if further authentication attempts are temporarily blocked when the threshold is reached, attempts during the blocking period are rejected, and new attempts are permitted only after the configured temporary blocking period expires.</t>
  </si>
  <si>
    <t xml:space="preserve">CS-DBG-012</t>
  </si>
  <si>
    <t xml:space="preserve">MVC-103048</t>
  </si>
  <si>
    <t xml:space="preserve">2.2.3-16</t>
  </si>
  <si>
    <t xml:space="preserve">The system shall minimize information returned during failed authentication attempts to avoid disclosure of authentication status or cryptographic verification details.</t>
  </si>
  <si>
    <t xml:space="preserve">Generate different failed authentication conditions and monitor all externally observable responses. The verification passes if the returned information is limited to the defined generic failure information and does not disclose the specific authentication failure cause, expected cryptographic values, received cryptographic values, or internal verification details.</t>
  </si>
  <si>
    <t xml:space="preserve">CS-DBG-013</t>
  </si>
  <si>
    <t xml:space="preserve">MVC-103032</t>
  </si>
  <si>
    <t xml:space="preserve">2.2.3-17</t>
  </si>
  <si>
    <t xml:space="preserve">The system shall log all debug unlock activities, including unlock requests, challenge generation events, successful unlocks, failed authentication attempts, lockout events, relock events, timestamps, ECU identity, and authentication results.</t>
  </si>
  <si>
    <t xml:space="preserve">Trigger a debug-unlock request, challenge generation, successful unlock, failed authentication, lockout, and relock. Retrieve the logs through the authorized log-access mechanism. The verification passes if every triggered event produces a corresponding log entry containing the applicable event type, timestamp, ECU identity, and authentication result without recording secret cryptographic material.</t>
  </si>
  <si>
    <t xml:space="preserve">CS-DBG-014</t>
  </si>
  <si>
    <t xml:space="preserve">MVC-103027</t>
  </si>
  <si>
    <t xml:space="preserve">2.2.3-18</t>
  </si>
  <si>
    <t xml:space="preserve">The system shall restrict access to debug authentication logs to authorized personnel and authorized debug sessions only.</t>
  </si>
  <si>
    <t xml:space="preserve">Attempt to access the debug authentication logs using: an authorized person during an authorized debug session, an unauthorized person, and an authorized person without an authorized debug session. The verification passes if log access is granted only to the authorized person during the authorized debug session and is denied in all other tested cases.</t>
  </si>
  <si>
    <t xml:space="preserve">CS-DBG-015</t>
  </si>
  <si>
    <t xml:space="preserve">MVC-116572</t>
  </si>
  <si>
    <t xml:space="preserve">2.2.4-1</t>
  </si>
  <si>
    <t xml:space="preserve">System Cybersecurity Requirements &gt; Hardware Security Protection</t>
  </si>
  <si>
    <t xml:space="preserve">The ECU shall protect hardware interfaces, control functions and firmware against unauthorized external access and manipulation.</t>
  </si>
  <si>
    <t xml:space="preserve">Verify that unauthorized external access attempts to hardware interfaces are prevented or rejected.
 Verify that unauthorized external attempts to disrupt hardware functions, including reset or power control functions, do not cause unintended disruption of ECU operation.
 Verify that unauthorized external attempts to access, modify, or replace ECU firmware are prevented and do not result in execution of unauthorized firmware.</t>
  </si>
  <si>
    <t xml:space="preserve">CS-HWP-001</t>
  </si>
  <si>
    <t xml:space="preserve">2.2.3.1-1</t>
  </si>
  <si>
    <t xml:space="preserve">Secure Communication (SOW2 - SOW1) &gt; ROT key storage</t>
  </si>
  <si>
    <t xml:space="preserve">Verify that the Samsung Root RSA public key is stored in the defined OTP/eFuse location. 
 Verify that the configured RSA key size is 2048 bits. 
 Verify that the OTP storage area is configured as immutable after provisioning. 
 Verify that the Secure Boot authentication function retrieves the Root RSA public key from the defined immutable storage location.</t>
  </si>
  <si>
    <t xml:space="preserve">CS-SOW1-001</t>
  </si>
  <si>
    <t xml:space="preserve">MVC-106561</t>
  </si>
  <si>
    <t xml:space="preserve">2.2.3.2-1</t>
  </si>
  <si>
    <t xml:space="preserve">Secure Communication (SOW2 - SOW1) &gt; Device Authentication Requirements</t>
  </si>
  <si>
    <t xml:space="preserve">The system shall request the SOW1 device authentication data, including Device_n, KID, and Sig_device, from SOW1 over the I2C interface after reset or before starting the secure session.</t>
  </si>
  <si>
    <t xml:space="preserve">1. Reset the system and monitor I2C traffic to verify that the system requests SOW1 authentication data. 
2. Repeat the test when a secure session must be established before secure communication starts. 
3. Verify that the request is sent to the configured SOW1 device over I2C. 
4. Verify that the request-response handling supports the required fields Device_n, KID, and Sig_device. 
5. Verify that the system handles a missing or incomplete response according to the defined authentication error and retry behavior.</t>
  </si>
  <si>
    <t xml:space="preserve">CS-SOW1-002</t>
  </si>
  <si>
    <t xml:space="preserve">MVC-106565</t>
  </si>
  <si>
    <t xml:space="preserve">2.2.3.2-2</t>
  </si>
  <si>
    <t xml:space="preserve">The system shall authenticate SOW1 by verifying Sig_device over Device_n and KID using the trusted RSA-2048 Samsung Root Public Key.</t>
  </si>
  <si>
    <t xml:space="preserve">1. Provide authentication data containing a valid Device_n, KID, and Sig_device, with a signature generated using the private key corresponding to the trusted Samsung Root Public Key. 
2. Verify that authentication succeeds when the signature covers the specified Device_n and KID values. 
3. Modify Device_n without updating the signature and verify that authentication fails. 
4. Modify KID without updating the signature and verify that authentication fails. 
5. Provide an invalid signature or one generated using an untrusted private key and verify that authentication fails. 
6. Verify that failed authentication does not result in the SOW1 device being marked as authenticated.</t>
  </si>
  <si>
    <t xml:space="preserve">CS-SOW1-003</t>
  </si>
  <si>
    <t xml:space="preserve">MVC-106563</t>
  </si>
  <si>
    <t xml:space="preserve">2.2.3.2-3</t>
  </si>
  <si>
    <t xml:space="preserve">The system shall use RSASSA-PSS whith SHA-256 to verify the Imager's digital signature (Sig_device).</t>
  </si>
  <si>
    <t xml:space="preserve">1. Verify through cryptographic configuration or implementation inspection that Sig_device verification uses RSASSA-PSS with SHA-256. 
2. Verify the configured RSA public-key size is 2048 bits. 
4. Verify failure when the signature or signed data is modified. 
5. Verify that signatures generated using a different verification scheme or incompatible parameters are not accepted as valid RSASSA-PSS/SHA-256 signatures</t>
  </si>
  <si>
    <t xml:space="preserve">CS-SOW1-004</t>
  </si>
  <si>
    <t xml:space="preserve">2.2.3.2-4</t>
  </si>
  <si>
    <t xml:space="preserve">The system shall retransmit the SOW1 authentication request up to three times if the expected authentication data is failed to be received.</t>
  </si>
  <si>
    <t xml:space="preserve">1. Make the SOW1 authentication response unavailable and initiate authentication. 
2. Monitor I2C traffic and count the authentication requests transmitted. 
3. Verify that the system retransmits the request when expected authentication data is not received. 
4. Verify that retransmission stops when valid authentication data is received or the retry limit is reached. 
5. Repeat with a response arriving on the last permitted attempt.</t>
  </si>
  <si>
    <t xml:space="preserve">CS-SOW1-005</t>
  </si>
  <si>
    <t xml:space="preserve">2.2.3.2-5</t>
  </si>
  <si>
    <t xml:space="preserve">The system shall terminate the SOW1 authentication process if authentication is not successfully completed after three authentication attempts.</t>
  </si>
  <si>
    <t xml:space="preserve">1. Prevent valid authentication data from being received for the entire permitted authentication-attempt sequence. 
2. Verify that the authentication procedure terminates after the defined attempt limit.
3. Verify that the device remains unauthenticated. 
4. Verify that session establishment and protected SOW1 operations do not proceed based on the failed authentication. 
5. Verify that the system does not continue retransmitting authentication requests indefinitely.</t>
  </si>
  <si>
    <t xml:space="preserve">CS-SOW1-006</t>
  </si>
  <si>
    <t xml:space="preserve">MVC-106576</t>
  </si>
  <si>
    <t xml:space="preserve">2.2.3.3-1</t>
  </si>
  <si>
    <t xml:space="preserve">Secure Communication (SOW2 - SOW1) &gt; Row information requirements</t>
  </si>
  <si>
    <t xml:space="preserve">The system shall configure the row start value of Row_info_00 or Row_info_01 to either 0 or 1 to include the embedded header containing the video frame counter in the AES-CMAC input.
Note: If Row start value set as 0, first line will be included as a AES-CMAC input. - If Row start value set as 1, second line will be included as a AES-CMAC input.</t>
  </si>
  <si>
    <t xml:space="preserve">1. Configure the row-start value of Row_info_00 or Row_info_01 to 0 and verify that the first line, containing the embedded header and frame counter, is included in the AES-CMAC input. 
2. Configure the row-start value to 1 and verify that the second line is used as the starting line. 
3. Verify that the row-start value is correctly encoded in the transmitted row information. 
4. Verify that the AES-CMAC input rows correspond to the configured starting value. 
5. Verify that values other than 0 and 1 are rejected or handled according to the defined configuration-validation policy.</t>
  </si>
  <si>
    <t xml:space="preserve">CS-SOW1-007</t>
  </si>
  <si>
    <t xml:space="preserve">MVC-108741</t>
  </si>
  <si>
    <t xml:space="preserve">2.2.3.3-2</t>
  </si>
  <si>
    <t xml:space="preserve">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
Note: Row information format is defined by Samsung, which is described in ‘5 Key sharing’ chapter in S5K3B6SA - Cybersecurity Application note documnet.</t>
  </si>
  <si>
    <t xml:space="preserve">1. Verify that, for Merge Compressed or Merged output modes using RAW12, RAW14, RAW16, RAW20, or RAW24, the configured row interval is at least 10. 2. Verify that, for Line Reorder mode using RAW12, the configured row interval is at least 30. 3. Measure or inspect the timing of AES-CMAC processing for each selected row and verify that processing of the preceding selected row is completed before the next selected row is input. 4. Verify that unsupported mode/format combinations are not assigned an interval based on an unrelated mode's minimum.</t>
  </si>
  <si>
    <t xml:space="preserve">CS-SOW1-008</t>
  </si>
  <si>
    <t xml:space="preserve">MVC-106574</t>
  </si>
  <si>
    <t xml:space="preserve">2.2.3.3-3</t>
  </si>
  <si>
    <t xml:space="preserve">The system shall ensure that the selected row range does not exceed the total vertical data size, including the image data and embedded header and statistics data, according to the following constraint:
start + 1 + (interval + 1) × (total − 1) ≤ ysize_image + ysize_embedded_data
where start is the starting row, interval is the row interval, total is the number of selected rows, and ysize_image and ysize_embedded_data are the vertical sizes of the image and embedded data.</t>
  </si>
  <si>
    <t xml:space="preserve">1. Verify that the row-selection configuration uses the constraint start + 1 + (interval + 1) × (total − 1) ≤ ysize_image + ysize_embedded_data. 2. Configure valid values for which the expression is exactly equal to the total vertical data size and verify that the configuration is accepted. 3. Configure values for which the expression exceeds the total vertical data size by one row and verify that the configuration is rejected or corrected before use. 4. Test the minimum supported start, interval, and total values. 5. Verify that the calculation uses the actual configured image and embedded-data vertical sizes and avoids integer overflow or truncation</t>
  </si>
  <si>
    <t xml:space="preserve">CS-SOW1-009</t>
  </si>
  <si>
    <t xml:space="preserve">2.2.3.4-1</t>
  </si>
  <si>
    <t xml:space="preserve">Secure Communication (SOW2 - SOW1) &gt; Key Sharing Requirements</t>
  </si>
  <si>
    <t xml:space="preserve">The system shall generate a 256-bit cryptographically random session key (SSK) following successful authentication.</t>
  </si>
  <si>
    <t xml:space="preserve">1. Complete SOW1 authentication successfully and trigger session-key generation. 2. Verify that the generated SSK has a length of exactly 256 bits. 3. Verify that session-key generation does not occur as a result of failed authentication. 4. Establish multiple independent sessions and verify that a new SSK is generated for each session. 5. Verify that the key is passed to the intended cryptographic operations without unintended truncation or alteration.</t>
  </si>
  <si>
    <t xml:space="preserve">CS-SOW1-010</t>
  </si>
  <si>
    <t xml:space="preserve">2.2.3.4-2</t>
  </si>
  <si>
    <t xml:space="preserve">1. Verify that the configured CSPRNG follows the applicable NIST SP 800-90A requirements. 2. Verify that its entropy source is the hardware TRNG and that the TRNG output is supplied through the approved seeding mechanism. 3. Verify that the random-generation implementation reports errors if required initialization, entropy acquisition, or random generation fails. 4. Simulate or inject a controlled RNG/TRNG failure and verify that a new SSK is not generated using an insecure fallback. 5. Verify that session establishment does not continue using an invalid or unavailable session key.</t>
  </si>
  <si>
    <t xml:space="preserve">CS-SOW1-011</t>
  </si>
  <si>
    <t xml:space="preserve">2.2.3.4-3</t>
  </si>
  <si>
    <t xml:space="preserve">1. Provide valid authentication data containing the Imager's 2048-bit device public key. 2. Complete SOW1 authentication successfully. 3. Verify that the system extracts the device public key from the correct field and that the extracted key matches the reference key. 4. Verify that the extracted key is passed to the session-key encryption operation without truncation or unintended modification. 5. Provide missing, malformed, or invalid public-key data and verify that it is not used for session-key encryption.</t>
  </si>
  <si>
    <t xml:space="preserve">CS-SOW1-012</t>
  </si>
  <si>
    <t xml:space="preserve">MVC-106580</t>
  </si>
  <si>
    <t xml:space="preserve">2.2.3.4-4</t>
  </si>
  <si>
    <t xml:space="preserve">The system shall encrypt the session key and selected row information (Row_info) using the 2048-bit device public key with RSAES-OAEP and SHA-256.</t>
  </si>
  <si>
    <t xml:space="preserve">1. Provide a known 256-bit SSK, valid row information, and the corresponding 2048-bit device public key. 2. Verify that the system encrypts the SSK and row information using RSAES-OAEP with SHA-256. 3. Decrypt the resulting ciphertext using the matching private key and verify that the recovered SSK and row information match the original inputs exactly. 4. Verify that decryption with a different private key fails. 5. Verify that the encrypted output conforms to the defined message format and RSA ciphertext length. 6. Confirm the configured OAEP mask-generation function and label, if any, against the approved interface specification.</t>
  </si>
  <si>
    <t xml:space="preserve">CS-SOW1-013</t>
  </si>
  <si>
    <t xml:space="preserve">2.2.3.4-5</t>
  </si>
  <si>
    <t xml:space="preserve">The system shall transmit the encrypted session key and selected row information (Row_info) to SOW1 over the I2C interface.</t>
  </si>
  <si>
    <t xml:space="preserve">1. Complete authentication and generate an SSK. 2. Monitor I2C traffic and verify that the encrypted SSK and selected row information are transmitted to the SOW1 device. 3. Verify that the transmitted ciphertext matches the output of the approved encryption operation. 4. Verify that the row information matches the active row-selection configuration. 5. Verify that the transmitted data follows the specified message layout, length, and field encoding. 6. Verify that transmission does not occur if authentication or encryption fails.</t>
  </si>
  <si>
    <t xml:space="preserve">CS-SOW1-014</t>
  </si>
  <si>
    <t xml:space="preserve">2.2.3.4-6</t>
  </si>
  <si>
    <t xml:space="preserve">1. Establish a secure session and identify accessible interfaces, including diagnostic commands, logs, debug interfaces, communication interfaces, and memory-access paths available in the intended operating configuration. 2. Attempt to retrieve the active SSK through each applicable interface. 3. Inspect logging and error-reporting behavior during normal operation and session-establishment failures. 4. Verify that no interface returns or transmits the SSK in plaintext or exposes it through an unauthorized read operation. 5. Verify that any permitted internal cryptographic use does not expose the key outside its authorized boundary.</t>
  </si>
  <si>
    <t xml:space="preserve">CS-SOW1-015</t>
  </si>
  <si>
    <t xml:space="preserve">2.2.3.4-7</t>
  </si>
  <si>
    <t xml:space="preserve">1. Initiate secure session establishment and suppress the expected SOW1 response. 2. Monitor the I2C or applicable communication interface and count the session-establishment requests or retransmissions. 3. Verify that the system retries when the expected response is not received. 4. Supply a valid response within the allowed attempts and verify that the session can be established. 5. Repeat with no response and verify that retries stop at the configured limit.</t>
  </si>
  <si>
    <t xml:space="preserve">CS-SOW1-016</t>
  </si>
  <si>
    <t xml:space="preserve">2.2.3.4-8</t>
  </si>
  <si>
    <t xml:space="preserve">1. Prevent successful secure session establishment by withholding the expected response. 2. Verify that the system terminates the establishment procedure after the permitted three retry attempts. 3. Verify that the session is not marked active and that the SSK is not used for protected communication. 4. Verify that no further retries occur after termination. 5. Verify that the system can recover through a newly initiated establishment procedure, provided the applicable recovery conditions are met.</t>
  </si>
  <si>
    <t xml:space="preserve">CS-SOW1-017</t>
  </si>
  <si>
    <t xml:space="preserve">2.2.3.4-9</t>
  </si>
  <si>
    <t xml:space="preserve">Verify each trigger independently: session expiry, system reset, system restart, explicit session termination, and detection of a security failure. For each trigger: 1. Establish a valid secure session. 2. Activate the trigger. 3. Verify that the existing session is invalidated and that the old SSK is no longer accepted for protected operations. 4. Verify that a new session requires full SOW1 authentication. 5. Verify that a new 256-bit SSK is generated following successful authentication. 6. Verify that protected communication does not resume before the new session is successfully established.</t>
  </si>
  <si>
    <t xml:space="preserve">CS-SOW1-018</t>
  </si>
  <si>
    <t xml:space="preserve">2.2.3.5-1</t>
  </si>
  <si>
    <t xml:space="preserve">Secure Communication (SOW2 - SOW1) &gt; Streaming videos Requirements (SOW1 -&gt; SOW2)</t>
  </si>
  <si>
    <t xml:space="preserve">1. Supply SOW1 video frames with known 128-bit AES-CMAC tags in their embedded footers. 2. Verify that the system extracts exactly 128 bits from the defined footer field for each frame. 3. Compare the extracted value with the reference tag. 4. Repeat with different valid tag values to verify that extraction is not hardcoded. 5. Test missing, truncated, and malformed footer data and verify that the system does not treat an invalid tag as successfully extracted.</t>
  </si>
  <si>
    <t xml:space="preserve">CS-SOW1-019</t>
  </si>
  <si>
    <t xml:space="preserve">2.2.3.5-2</t>
  </si>
  <si>
    <t xml:space="preserve">The system shall calculate a 128-bit AES-CMAC tag over the selected rows of each video frame using the active 256-bit AES session key.</t>
  </si>
  <si>
    <t xml:space="preserve">1. Establish a valid secure session with a known 256-bit SSK. 2. Provide a test video frame and its configured selected-row information. 3. Independently calculate the expected AES-CMAC using the same key, selected-row data, and approved input encoding. 4. Verify that the system calculates a 128-bit AES-CMAC matching the reference value. 5. Modify a byte in a selected row and verify that the calculated result matches the independently calculated result for the modified input and normally differs from the original tag. 6. Verify that the active session key, rather than a fixed or previous-session key, is used.</t>
  </si>
  <si>
    <t xml:space="preserve">CS-SOW1-020</t>
  </si>
  <si>
    <t xml:space="preserve">2.2.3.5-3</t>
  </si>
  <si>
    <t xml:space="preserve">1. Provide a valid frame with a footer tag matching the independently calculated AES-CMAC. 2. Verify that the comparison succeeds. 3. Modify the footer tag while leaving the frame data unchanged and verify that comparison fails. 4. Modify authenticated frame data while retaining the original footer tag and verify that comparison fails. 5. Verify that the comparison uses the complete 128-bit tag and does not accept a partial match.</t>
  </si>
  <si>
    <t xml:space="preserve">CS-SOW1-021</t>
  </si>
  <si>
    <t xml:space="preserve">2.2.3.5-4</t>
  </si>
  <si>
    <t xml:space="preserve">1. Submit a frame with a valid format but an incorrect AES-CMAC tag. 2. Submit a frame whose authenticated data has been modified without updating its tag. 3. Verify that the system rejects each frame after verification fails. 4. Verify that the rejected frame is not forwarded to downstream processing as trusted video data. 5. Verify that rejection of a frame does not inadvertently cause the same invalid frame to be accepted on a subsequent processing path.</t>
  </si>
  <si>
    <t xml:space="preserve">CS-SOW1-022</t>
  </si>
  <si>
    <t xml:space="preserve">MVC-106575</t>
  </si>
  <si>
    <t xml:space="preserve">2.2.3.5-5</t>
  </si>
  <si>
    <t xml:space="preserve">The system shall verify the freshness, ordering, and sequence validity of each received SOW1 video frame using the frame counter embedded in the frame header.</t>
  </si>
  <si>
    <t xml:space="preserve">1. Supply frames with valid, increasing frame-counter values and verify that freshness, ordering, and sequence checks are applied. 2. Supply duplicated, stale, and out-of-order frames and verify that each is handled according to the specified counter-validation policy. 3. Supply counter values at the defined acceptance-window boundaries and verify the expected result. 4. Verify that freshness validation uses the frame counter extracted from the embedded header, not an unrelated or hardcoded value. 5. Verify that malformed or unavailable counter data cannot cause a frame to be treated as fresh.</t>
  </si>
  <si>
    <t xml:space="preserve">CS-SOW1-023</t>
  </si>
  <si>
    <t xml:space="preserve">2.2.3.5-6</t>
  </si>
  <si>
    <t xml:space="preserve">1. Start the system without completing SOW1 authentication and supply secured video frames. 2. Verify that those frames are not accepted or processed as trusted. 3. Repeat after authentication failure and during unsuccessful secure session establishment. 4. Terminate an established session and verify that frames from the previous session are no longer accepted as trusted. 5. Complete authentication and establish a valid session, then verify that frames can be considered for trusted processing subject to successful integrity and freshness checks.</t>
  </si>
  <si>
    <t xml:space="preserve">CS-SOW1-024</t>
  </si>
  <si>
    <t xml:space="preserve">MVC-113726</t>
  </si>
  <si>
    <t xml:space="preserve">2.2.3.5-7</t>
  </si>
  <si>
    <t xml:space="preserve">1. Supply video frames with known frame-counter values in the embedded headers. 2. Verify that the system extracts the correct counter value from each header. 3. Verify that the extracted value is supplied to the freshness-validation logic. 4. Repeat with different counter values to confirm correct extraction across the supported counter range. 5. Test missing, truncated, and malformed headers and verify that invalid counter data is not used to authorize a frame</t>
  </si>
  <si>
    <t xml:space="preserve">CS-SOW1-025</t>
  </si>
  <si>
    <t xml:space="preserve">2.2.3.5-8</t>
  </si>
  <si>
    <t xml:space="preserve">Verify that the configured forward acceptance window is set to 3 frames. 
 Verify that a frame with a counter equal to LastAcceptedCounter is rejected. 
 Verify that a frame with a counter lower than LastAcceptedCounter is rejected. 
 Verify that a frame with a counter equal to LastAcceptedCounter + 1 is accepted. 
 Verify that a frame with a counter equal to LastAcceptedCounter + 2 is accepted.
Verify that a frame with a counter equal to LastAcceptedCounter + 3 is accepted. 
 Verify that a frame with a counter greater than LastAcceptedCounter + 3 is rejected. 
 Verify that LastAcceptedCounter is updated after a frame within the acceptance window is successfully authenticated.</t>
  </si>
  <si>
    <t xml:space="preserve">CS-SOW1-026</t>
  </si>
  <si>
    <t xml:space="preserve">2.2.3.6-1</t>
  </si>
  <si>
    <t xml:space="preserve">Secure Communication (SOW2 - SOW1) &gt; SOW1 Commands Requirements (SOW2 -&gt; SOW1)</t>
  </si>
  <si>
    <t xml:space="preserve">The SOW2 shall not transmit protected SOW1 control commands before successful authentication.</t>
  </si>
  <si>
    <t xml:space="preserve">1. Attempt to transmit SOW1 control commands before SOW1 authentication has succeeded. 2. Repeat after authentication failure and during incomplete secure session establishment. 3. Monitor the outgoing communication interface and verify that no SOW1 control command is transmitted in these states. 4. Complete authentication successfully and verify that command transmission is permitted only when the other applicable secure-session requirements are satisfied. 5. Terminate the session and verify that commands cannot continue to be transmitted using the invalidated session.</t>
  </si>
  <si>
    <t xml:space="preserve">CS-SOW1-027</t>
  </si>
  <si>
    <t xml:space="preserve">2.2.3.6-2</t>
  </si>
  <si>
    <t xml:space="preserve">1. Establish a valid secure session with a known 256-bit SSK. 2. Provide representative SOW1 control commands and independently calculate the expected AES-CMAC using the same key and the command's specified authenticated input. 3. Verify that the system calculates a 128-bit AES-CMAC for each command. 4. Verify that the calculated tag matches the independent reference result. 5. Modify a command field covered by the CMAC and verify that the recalculated tag matches the reference result for the modified command and normally differs from the original tag. 6. Verify that the active session key is used rather than a hardcoded key or a key retained from a previous session.</t>
  </si>
  <si>
    <t xml:space="preserve">CS-SOW1-028</t>
  </si>
  <si>
    <t xml:space="preserve">2.2.3.6-3</t>
  </si>
  <si>
    <t xml:space="preserve">1. Generate a valid SOW1 control command and verify that the system calculates its 128-bit AES-CMAC before transmission. 2. Monitor the outgoing communication interface and verify that the transmitted message contains the command followed by the calculated tag in the specified field order and encoding. 3. Independently calculate the reference CMAC and compare it with the transmitted tag. 4. Repeat with different commands and command contents to confirm that the tag is calculated for each command rather than reused. 5. Verify that the transmitted tag is exactly 128 bits and that the message conforms to the specified protocol format. 6. Verify that the command is not transmitted as a protected command if CMAC calculation fails.</t>
  </si>
  <si>
    <t xml:space="preserve">CS-SOW1-029</t>
  </si>
  <si>
    <t xml:space="preserve">2.2.3.6-4</t>
  </si>
  <si>
    <t xml:space="preserve">The system shall include a monotonically increasing Counter in each protected SOW1 control command.</t>
  </si>
  <si>
    <t xml:space="preserve">1. Generate and transmit successive protected SOW1 control commands and inspect the counter field of each message. 2. Verify that the counter increases monotonically for successive commands within a session. 3. Verify that the counter is included in every protected command using the specified encoding and field position. 4. Verify that the counter does not repeat or decrease during normal operation. 5. Test the defined counter-maximum condition and verify that the system follows the approved exhaustion/rollover policy without silently violating monotonicity. 6. Verify the counter behavior after session termination and establishment of a new session according to the specified initialization policy.</t>
  </si>
  <si>
    <t xml:space="preserve">CS-SOW1-030</t>
  </si>
  <si>
    <t xml:space="preserve">Feature</t>
  </si>
  <si>
    <t xml:space="preserve">Requirement text</t>
  </si>
  <si>
    <t xml:space="preserve">Source document and version</t>
  </si>
  <si>
    <t xml:space="preserve">Priority</t>
  </si>
  <si>
    <t xml:space="preserve">Open question / notes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</si>
</sst>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3864"/>
      <name val="Arial"/>
      <family val="0"/>
      <charset val="1"/>
    </font>
    <font>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2"/>
    <col collapsed="false" customWidth="true" hidden="false" outlineLevel="0" max="9" min="3"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s">
        <v>11</v>
      </c>
      <c r="B5" s="4" t="s">
        <v>12</v>
      </c>
      <c r="C5" s="4" t="n">
        <f aca="false">COUNTA('SRS ch23'!A2:A1000)</f>
        <v>249</v>
      </c>
      <c r="D5" s="4" t="n">
        <f aca="false">COUNTIF('SRS ch23'!I2:I1000,"Not started")</f>
        <v>249</v>
      </c>
      <c r="E5" s="4" t="n">
        <f aca="false">COUNTIF('SRS ch23'!I2:I1000,"Designed")</f>
        <v>0</v>
      </c>
      <c r="F5" s="4" t="n">
        <f aca="false">COUNTIF('SRS ch23'!I2:I1000,"Implemented")</f>
        <v>0</v>
      </c>
      <c r="G5" s="4" t="n">
        <f aca="false">COUNTIF('SRS ch23'!I2:I1000,"Passed")</f>
        <v>0</v>
      </c>
      <c r="H5" s="4" t="n">
        <f aca="false">COUNTIF('SRS ch23'!I2:I1000,"Failed")</f>
        <v>0</v>
      </c>
      <c r="I5" s="4" t="n">
        <f aca="false">COUNTIF('SRS ch23'!I2:I1000,"Blocked")</f>
        <v>0</v>
      </c>
    </row>
    <row r="6" customFormat="false" ht="15" hidden="false" customHeight="false" outlineLevel="0" collapsed="false">
      <c r="A6" s="4" t="s">
        <v>13</v>
      </c>
      <c r="B6" s="4" t="s">
        <v>14</v>
      </c>
      <c r="C6" s="4" t="n">
        <f aca="false">COUNTA(Concept!A2:A1000)</f>
        <v>41</v>
      </c>
      <c r="D6" s="4" t="n">
        <f aca="false">COUNTIF(Concept!L2:L1000,"Not started")</f>
        <v>41</v>
      </c>
      <c r="E6" s="4" t="n">
        <f aca="false">COUNTIF(Concept!L2:L1000,"Designed")</f>
        <v>0</v>
      </c>
      <c r="F6" s="4" t="n">
        <f aca="false">COUNTIF(Concept!L2:L1000,"Implemented")</f>
        <v>0</v>
      </c>
      <c r="G6" s="4" t="n">
        <f aca="false">COUNTIF(Concept!L2:L1000,"Passed")</f>
        <v>0</v>
      </c>
      <c r="H6" s="4" t="n">
        <f aca="false">COUNTIF(Concept!L2:L1000,"Failed")</f>
        <v>0</v>
      </c>
      <c r="I6" s="4" t="n">
        <f aca="false">COUNTIF(Concept!L2:L1000,"Blocked")</f>
        <v>0</v>
      </c>
    </row>
    <row r="7" customFormat="false" ht="15" hidden="false" customHeight="false" outlineLevel="0" collapsed="false">
      <c r="A7" s="4" t="s">
        <v>15</v>
      </c>
      <c r="B7" s="4" t="s">
        <v>16</v>
      </c>
      <c r="C7" s="4" t="n">
        <f aca="false">COUNTA(Technical!A2:A1000)</f>
        <v>30</v>
      </c>
      <c r="D7" s="4" t="n">
        <f aca="false">COUNTIF(Technical!L2:L1000,"Not started")</f>
        <v>30</v>
      </c>
      <c r="E7" s="4" t="n">
        <f aca="false">COUNTIF(Technical!L2:L1000,"Designed")</f>
        <v>0</v>
      </c>
      <c r="F7" s="4" t="n">
        <f aca="false">COUNTIF(Technical!L2:L1000,"Implemented")</f>
        <v>0</v>
      </c>
      <c r="G7" s="4" t="n">
        <f aca="false">COUNTIF(Technical!L2:L1000,"Passed")</f>
        <v>0</v>
      </c>
      <c r="H7" s="4" t="n">
        <f aca="false">COUNTIF(Technical!L2:L1000,"Failed")</f>
        <v>0</v>
      </c>
      <c r="I7" s="4" t="n">
        <f aca="false">COUNTIF(Technical!L2:L1000,"Blocked")</f>
        <v>0</v>
      </c>
    </row>
    <row r="8" customFormat="false" ht="15" hidden="false" customHeight="false" outlineLevel="0" collapsed="false">
      <c r="A8" s="5" t="s">
        <v>17</v>
      </c>
      <c r="B8" s="5"/>
      <c r="C8" s="5" t="n">
        <f aca="false">SUM(C5:C7)</f>
        <v>320</v>
      </c>
      <c r="D8" s="5" t="n">
        <f aca="false">SUM(D5:D7)</f>
        <v>320</v>
      </c>
      <c r="E8" s="5" t="n">
        <f aca="false">SUM(E5:E7)</f>
        <v>0</v>
      </c>
      <c r="F8" s="5" t="n">
        <f aca="false">SUM(F5:F7)</f>
        <v>0</v>
      </c>
      <c r="G8" s="5" t="n">
        <f aca="false">SUM(G5:G7)</f>
        <v>0</v>
      </c>
      <c r="H8" s="5" t="n">
        <f aca="false">SUM(H5:H7)</f>
        <v>0</v>
      </c>
      <c r="I8" s="5" t="n">
        <f aca="false">SUM(I5:I7)</f>
        <v>0</v>
      </c>
    </row>
    <row r="10" customFormat="false" ht="15" hidden="false" customHeight="false" outlineLevel="0" collapsed="false">
      <c r="A10" s="6" t="s">
        <v>18</v>
      </c>
    </row>
    <row r="11" customFormat="false" ht="35.05" hidden="false" customHeight="false" outlineLevel="0" collapsed="false">
      <c r="A11" s="3" t="s">
        <v>19</v>
      </c>
      <c r="B11" s="3" t="s">
        <v>4</v>
      </c>
      <c r="C11" s="3" t="s">
        <v>20</v>
      </c>
      <c r="D11" s="3" t="s">
        <v>21</v>
      </c>
    </row>
    <row r="12" customFormat="false" ht="15" hidden="false" customHeight="false" outlineLevel="0" collapsed="false">
      <c r="A12" s="4" t="s">
        <v>22</v>
      </c>
      <c r="B12" s="4" t="n">
        <f aca="false">COUNTIF('SRS ch23'!F2:F1000,A12)</f>
        <v>90</v>
      </c>
      <c r="C12" s="4" t="n">
        <f aca="false">COUNTIFS('SRS ch23'!F2:F1000,A12,'SRS ch23'!C2:C1000,"*[X]*")</f>
        <v>0</v>
      </c>
      <c r="D12" s="4" t="n">
        <f aca="false">COUNTIFS('SRS ch23'!F2:F1000,A12,'SRS ch23'!E2:E1000,"")</f>
        <v>18</v>
      </c>
    </row>
    <row r="13" customFormat="false" ht="15" hidden="false" customHeight="false" outlineLevel="0" collapsed="false">
      <c r="A13" s="4" t="s">
        <v>23</v>
      </c>
      <c r="B13" s="4" t="n">
        <f aca="false">COUNTIF('SRS ch23'!F2:F1000,A13)</f>
        <v>57</v>
      </c>
      <c r="C13" s="4" t="n">
        <f aca="false">COUNTIFS('SRS ch23'!F2:F1000,A13,'SRS ch23'!C2:C1000,"*[X]*")</f>
        <v>0</v>
      </c>
      <c r="D13" s="4" t="n">
        <f aca="false">COUNTIFS('SRS ch23'!F2:F1000,A13,'SRS ch23'!E2:E1000,"")</f>
        <v>8</v>
      </c>
    </row>
    <row r="14" customFormat="false" ht="15" hidden="false" customHeight="false" outlineLevel="0" collapsed="false">
      <c r="A14" s="4" t="s">
        <v>24</v>
      </c>
      <c r="B14" s="4" t="n">
        <f aca="false">COUNTIF('SRS ch23'!F2:F1000,A14)</f>
        <v>39</v>
      </c>
      <c r="C14" s="4" t="n">
        <f aca="false">COUNTIFS('SRS ch23'!F2:F1000,A14,'SRS ch23'!C2:C1000,"*[X]*")</f>
        <v>15</v>
      </c>
      <c r="D14" s="4" t="n">
        <f aca="false">COUNTIFS('SRS ch23'!F2:F1000,A14,'SRS ch23'!E2:E1000,"")</f>
        <v>0</v>
      </c>
    </row>
    <row r="15" customFormat="false" ht="15" hidden="false" customHeight="false" outlineLevel="0" collapsed="false">
      <c r="A15" s="4" t="s">
        <v>25</v>
      </c>
      <c r="B15" s="4" t="n">
        <f aca="false">COUNTIF('SRS ch23'!F2:F1000,A15)</f>
        <v>35</v>
      </c>
      <c r="C15" s="4" t="n">
        <f aca="false">COUNTIFS('SRS ch23'!F2:F1000,A15,'SRS ch23'!C2:C1000,"*[X]*")</f>
        <v>24</v>
      </c>
      <c r="D15" s="4" t="n">
        <f aca="false">COUNTIFS('SRS ch23'!F2:F1000,A15,'SRS ch23'!E2:E1000,"")</f>
        <v>1</v>
      </c>
    </row>
    <row r="16" customFormat="false" ht="15" hidden="false" customHeight="false" outlineLevel="0" collapsed="false">
      <c r="A16" s="4" t="s">
        <v>26</v>
      </c>
      <c r="B16" s="4" t="n">
        <f aca="false">COUNTIF('SRS ch23'!F2:F1000,A16)</f>
        <v>28</v>
      </c>
      <c r="C16" s="4" t="n">
        <f aca="false">COUNTIFS('SRS ch23'!F2:F1000,A16,'SRS ch23'!C2:C1000,"*[X]*")</f>
        <v>13</v>
      </c>
      <c r="D16" s="4" t="n">
        <f aca="false">COUNTIFS('SRS ch23'!F2:F1000,A16,'SRS ch23'!E2:E1000,"")</f>
        <v>0</v>
      </c>
    </row>
    <row r="17" customFormat="false" ht="15" hidden="false" customHeight="false" outlineLevel="0" collapsed="false">
      <c r="A17" s="5" t="s">
        <v>17</v>
      </c>
      <c r="B17" s="5" t="n">
        <f aca="false">SUM(B12:B16)</f>
        <v>249</v>
      </c>
      <c r="C17" s="5" t="n">
        <f aca="false">SUM(C12:C16)</f>
        <v>52</v>
      </c>
      <c r="D17" s="5" t="n">
        <f aca="false">SUM(D12:D16)</f>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60"/>
    <col collapsed="false" customWidth="true" hidden="false" outlineLevel="0" max="4" min="4" style="0" width="9"/>
    <col collapsed="false" customWidth="true" hidden="false" outlineLevel="0" max="5" min="5" style="0" width="55"/>
    <col collapsed="false" customWidth="true" hidden="false" outlineLevel="0" max="6" min="6" style="0" width="24"/>
    <col collapsed="false" customWidth="true" hidden="false" outlineLevel="0" max="7" min="7" style="0" width="18"/>
    <col collapsed="false" customWidth="true" hidden="false" outlineLevel="0" max="8" min="8" style="0" width="11"/>
    <col collapsed="false" customWidth="true" hidden="false" outlineLevel="0" max="9" min="9" style="0" width="13"/>
    <col collapsed="false" customWidth="true" hidden="false" outlineLevel="0" max="10" min="10" style="0" width="28"/>
  </cols>
  <sheetData>
    <row r="1" customFormat="false" ht="31.5" hidden="false" customHeight="true" outlineLevel="0" collapsed="false">
      <c r="A1" s="7" t="s">
        <v>27</v>
      </c>
      <c r="B1" s="7" t="s">
        <v>28</v>
      </c>
      <c r="C1" s="7" t="s">
        <v>29</v>
      </c>
      <c r="D1" s="7" t="s">
        <v>30</v>
      </c>
      <c r="E1" s="7" t="s">
        <v>31</v>
      </c>
      <c r="F1" s="7" t="s">
        <v>19</v>
      </c>
      <c r="G1" s="7" t="s">
        <v>32</v>
      </c>
      <c r="H1" s="7" t="s">
        <v>33</v>
      </c>
      <c r="I1" s="7" t="s">
        <v>34</v>
      </c>
      <c r="J1" s="7" t="s">
        <v>35</v>
      </c>
    </row>
    <row r="2" customFormat="false" ht="32.8" hidden="false" customHeight="false" outlineLevel="0" collapsed="false">
      <c r="A2" s="8" t="s">
        <v>36</v>
      </c>
      <c r="B2" s="8" t="s">
        <v>37</v>
      </c>
      <c r="C2" s="8" t="s">
        <v>38</v>
      </c>
      <c r="D2" s="8" t="s">
        <v>39</v>
      </c>
      <c r="E2" s="8" t="s">
        <v>40</v>
      </c>
      <c r="F2" s="8" t="s">
        <v>22</v>
      </c>
      <c r="G2" s="8"/>
      <c r="H2" s="8"/>
      <c r="I2" s="8" t="s">
        <v>5</v>
      </c>
      <c r="J2" s="8"/>
    </row>
    <row r="3" customFormat="false" ht="32.8" hidden="false" customHeight="false" outlineLevel="0" collapsed="false">
      <c r="A3" s="8" t="s">
        <v>41</v>
      </c>
      <c r="B3" s="8" t="s">
        <v>37</v>
      </c>
      <c r="C3" s="8" t="s">
        <v>42</v>
      </c>
      <c r="D3" s="8" t="s">
        <v>39</v>
      </c>
      <c r="E3" s="8" t="s">
        <v>43</v>
      </c>
      <c r="F3" s="8" t="s">
        <v>22</v>
      </c>
      <c r="G3" s="8"/>
      <c r="H3" s="8"/>
      <c r="I3" s="8" t="s">
        <v>5</v>
      </c>
      <c r="J3" s="8"/>
    </row>
    <row r="4" customFormat="false" ht="22.35" hidden="false" customHeight="false" outlineLevel="0" collapsed="false">
      <c r="A4" s="8" t="s">
        <v>44</v>
      </c>
      <c r="B4" s="8" t="s">
        <v>37</v>
      </c>
      <c r="C4" s="8" t="s">
        <v>45</v>
      </c>
      <c r="D4" s="8" t="s">
        <v>39</v>
      </c>
      <c r="E4" s="8"/>
      <c r="F4" s="8" t="s">
        <v>22</v>
      </c>
      <c r="G4" s="8"/>
      <c r="H4" s="8"/>
      <c r="I4" s="8" t="s">
        <v>5</v>
      </c>
      <c r="J4" s="8"/>
    </row>
    <row r="5" customFormat="false" ht="22.35" hidden="false" customHeight="false" outlineLevel="0" collapsed="false">
      <c r="A5" s="8" t="s">
        <v>46</v>
      </c>
      <c r="B5" s="8" t="s">
        <v>37</v>
      </c>
      <c r="C5" s="8" t="s">
        <v>47</v>
      </c>
      <c r="D5" s="8" t="s">
        <v>39</v>
      </c>
      <c r="E5" s="8" t="s">
        <v>48</v>
      </c>
      <c r="F5" s="8" t="s">
        <v>22</v>
      </c>
      <c r="G5" s="8"/>
      <c r="H5" s="8"/>
      <c r="I5" s="8" t="s">
        <v>5</v>
      </c>
      <c r="J5" s="8"/>
    </row>
    <row r="6" customFormat="false" ht="32.8" hidden="false" customHeight="false" outlineLevel="0" collapsed="false">
      <c r="A6" s="8" t="s">
        <v>49</v>
      </c>
      <c r="B6" s="8" t="s">
        <v>50</v>
      </c>
      <c r="C6" s="8" t="s">
        <v>51</v>
      </c>
      <c r="D6" s="8" t="s">
        <v>39</v>
      </c>
      <c r="E6" s="8" t="s">
        <v>52</v>
      </c>
      <c r="F6" s="8" t="s">
        <v>22</v>
      </c>
      <c r="G6" s="8"/>
      <c r="H6" s="8"/>
      <c r="I6" s="8" t="s">
        <v>5</v>
      </c>
      <c r="J6" s="8"/>
    </row>
    <row r="7" customFormat="false" ht="22.35" hidden="false" customHeight="false" outlineLevel="0" collapsed="false">
      <c r="A7" s="8" t="s">
        <v>53</v>
      </c>
      <c r="B7" s="8" t="s">
        <v>50</v>
      </c>
      <c r="C7" s="8" t="s">
        <v>54</v>
      </c>
      <c r="D7" s="8" t="s">
        <v>39</v>
      </c>
      <c r="E7" s="8" t="s">
        <v>55</v>
      </c>
      <c r="F7" s="8" t="s">
        <v>22</v>
      </c>
      <c r="G7" s="8"/>
      <c r="H7" s="8"/>
      <c r="I7" s="8" t="s">
        <v>5</v>
      </c>
      <c r="J7" s="8"/>
    </row>
    <row r="8" customFormat="false" ht="32.8" hidden="false" customHeight="false" outlineLevel="0" collapsed="false">
      <c r="A8" s="8" t="s">
        <v>56</v>
      </c>
      <c r="B8" s="8" t="s">
        <v>50</v>
      </c>
      <c r="C8" s="8" t="s">
        <v>57</v>
      </c>
      <c r="D8" s="8" t="s">
        <v>39</v>
      </c>
      <c r="E8" s="8" t="s">
        <v>58</v>
      </c>
      <c r="F8" s="8" t="s">
        <v>22</v>
      </c>
      <c r="G8" s="8"/>
      <c r="H8" s="8"/>
      <c r="I8" s="8" t="s">
        <v>5</v>
      </c>
      <c r="J8" s="8"/>
    </row>
    <row r="9" customFormat="false" ht="32.8" hidden="false" customHeight="false" outlineLevel="0" collapsed="false">
      <c r="A9" s="8" t="s">
        <v>59</v>
      </c>
      <c r="B9" s="8" t="s">
        <v>50</v>
      </c>
      <c r="C9" s="8" t="s">
        <v>60</v>
      </c>
      <c r="D9" s="8" t="s">
        <v>39</v>
      </c>
      <c r="E9" s="8" t="s">
        <v>61</v>
      </c>
      <c r="F9" s="8" t="s">
        <v>22</v>
      </c>
      <c r="G9" s="8"/>
      <c r="H9" s="8"/>
      <c r="I9" s="8" t="s">
        <v>5</v>
      </c>
      <c r="J9" s="8"/>
    </row>
    <row r="10" customFormat="false" ht="22.35" hidden="false" customHeight="false" outlineLevel="0" collapsed="false">
      <c r="A10" s="8" t="s">
        <v>62</v>
      </c>
      <c r="B10" s="8" t="s">
        <v>63</v>
      </c>
      <c r="C10" s="8" t="s">
        <v>64</v>
      </c>
      <c r="D10" s="8" t="s">
        <v>39</v>
      </c>
      <c r="E10" s="8" t="s">
        <v>65</v>
      </c>
      <c r="F10" s="8" t="s">
        <v>22</v>
      </c>
      <c r="G10" s="8"/>
      <c r="H10" s="8"/>
      <c r="I10" s="8" t="s">
        <v>5</v>
      </c>
      <c r="J10" s="8"/>
    </row>
    <row r="11" customFormat="false" ht="22.35" hidden="false" customHeight="false" outlineLevel="0" collapsed="false">
      <c r="A11" s="8" t="s">
        <v>66</v>
      </c>
      <c r="B11" s="8" t="s">
        <v>63</v>
      </c>
      <c r="C11" s="8" t="s">
        <v>67</v>
      </c>
      <c r="D11" s="8" t="s">
        <v>39</v>
      </c>
      <c r="E11" s="8"/>
      <c r="F11" s="8" t="s">
        <v>22</v>
      </c>
      <c r="G11" s="8"/>
      <c r="H11" s="8"/>
      <c r="I11" s="8" t="s">
        <v>5</v>
      </c>
      <c r="J11" s="8"/>
    </row>
    <row r="12" customFormat="false" ht="43.25" hidden="false" customHeight="false" outlineLevel="0" collapsed="false">
      <c r="A12" s="8" t="s">
        <v>68</v>
      </c>
      <c r="B12" s="8" t="s">
        <v>63</v>
      </c>
      <c r="C12" s="8" t="s">
        <v>69</v>
      </c>
      <c r="D12" s="8" t="s">
        <v>39</v>
      </c>
      <c r="E12" s="8" t="s">
        <v>70</v>
      </c>
      <c r="F12" s="8" t="s">
        <v>22</v>
      </c>
      <c r="G12" s="8"/>
      <c r="H12" s="8"/>
      <c r="I12" s="8" t="s">
        <v>5</v>
      </c>
      <c r="J12" s="8"/>
    </row>
    <row r="13" customFormat="false" ht="22.35" hidden="false" customHeight="false" outlineLevel="0" collapsed="false">
      <c r="A13" s="8" t="s">
        <v>71</v>
      </c>
      <c r="B13" s="8" t="s">
        <v>63</v>
      </c>
      <c r="C13" s="8" t="s">
        <v>72</v>
      </c>
      <c r="D13" s="8" t="s">
        <v>39</v>
      </c>
      <c r="E13" s="8" t="s">
        <v>73</v>
      </c>
      <c r="F13" s="8" t="s">
        <v>22</v>
      </c>
      <c r="G13" s="8"/>
      <c r="H13" s="8"/>
      <c r="I13" s="8" t="s">
        <v>5</v>
      </c>
      <c r="J13" s="8"/>
    </row>
    <row r="14" customFormat="false" ht="22.35" hidden="false" customHeight="false" outlineLevel="0" collapsed="false">
      <c r="A14" s="8" t="s">
        <v>74</v>
      </c>
      <c r="B14" s="8" t="s">
        <v>75</v>
      </c>
      <c r="C14" s="8" t="s">
        <v>76</v>
      </c>
      <c r="D14" s="8" t="s">
        <v>39</v>
      </c>
      <c r="E14" s="8" t="s">
        <v>77</v>
      </c>
      <c r="F14" s="8" t="s">
        <v>22</v>
      </c>
      <c r="G14" s="8"/>
      <c r="H14" s="8"/>
      <c r="I14" s="8" t="s">
        <v>5</v>
      </c>
      <c r="J14" s="8"/>
    </row>
    <row r="15" customFormat="false" ht="22.35" hidden="false" customHeight="false" outlineLevel="0" collapsed="false">
      <c r="A15" s="8" t="s">
        <v>78</v>
      </c>
      <c r="B15" s="8" t="s">
        <v>75</v>
      </c>
      <c r="C15" s="8" t="s">
        <v>79</v>
      </c>
      <c r="D15" s="8" t="s">
        <v>39</v>
      </c>
      <c r="E15" s="8" t="s">
        <v>80</v>
      </c>
      <c r="F15" s="8" t="s">
        <v>22</v>
      </c>
      <c r="G15" s="8"/>
      <c r="H15" s="8"/>
      <c r="I15" s="8" t="s">
        <v>5</v>
      </c>
      <c r="J15" s="8"/>
    </row>
    <row r="16" customFormat="false" ht="22.35" hidden="false" customHeight="false" outlineLevel="0" collapsed="false">
      <c r="A16" s="8" t="s">
        <v>81</v>
      </c>
      <c r="B16" s="8" t="s">
        <v>75</v>
      </c>
      <c r="C16" s="8" t="s">
        <v>82</v>
      </c>
      <c r="D16" s="8" t="s">
        <v>39</v>
      </c>
      <c r="E16" s="8" t="s">
        <v>83</v>
      </c>
      <c r="F16" s="8" t="s">
        <v>22</v>
      </c>
      <c r="G16" s="8"/>
      <c r="H16" s="8"/>
      <c r="I16" s="8" t="s">
        <v>5</v>
      </c>
      <c r="J16" s="8"/>
    </row>
    <row r="17" customFormat="false" ht="32.8" hidden="false" customHeight="false" outlineLevel="0" collapsed="false">
      <c r="A17" s="8" t="s">
        <v>84</v>
      </c>
      <c r="B17" s="8" t="s">
        <v>75</v>
      </c>
      <c r="C17" s="8" t="s">
        <v>85</v>
      </c>
      <c r="D17" s="8" t="s">
        <v>39</v>
      </c>
      <c r="E17" s="8" t="s">
        <v>86</v>
      </c>
      <c r="F17" s="8" t="s">
        <v>22</v>
      </c>
      <c r="G17" s="8"/>
      <c r="H17" s="8"/>
      <c r="I17" s="8" t="s">
        <v>5</v>
      </c>
      <c r="J17" s="8"/>
    </row>
    <row r="18" customFormat="false" ht="43.25" hidden="false" customHeight="false" outlineLevel="0" collapsed="false">
      <c r="A18" s="8" t="s">
        <v>87</v>
      </c>
      <c r="B18" s="8" t="s">
        <v>75</v>
      </c>
      <c r="C18" s="8" t="s">
        <v>88</v>
      </c>
      <c r="D18" s="8" t="s">
        <v>39</v>
      </c>
      <c r="E18" s="8" t="s">
        <v>89</v>
      </c>
      <c r="F18" s="8" t="s">
        <v>22</v>
      </c>
      <c r="G18" s="8"/>
      <c r="H18" s="8"/>
      <c r="I18" s="8" t="s">
        <v>5</v>
      </c>
      <c r="J18" s="8"/>
    </row>
    <row r="19" customFormat="false" ht="32.8" hidden="false" customHeight="false" outlineLevel="0" collapsed="false">
      <c r="A19" s="8" t="s">
        <v>90</v>
      </c>
      <c r="B19" s="8" t="s">
        <v>75</v>
      </c>
      <c r="C19" s="8" t="s">
        <v>91</v>
      </c>
      <c r="D19" s="8" t="s">
        <v>39</v>
      </c>
      <c r="E19" s="8"/>
      <c r="F19" s="8" t="s">
        <v>22</v>
      </c>
      <c r="G19" s="8"/>
      <c r="H19" s="8"/>
      <c r="I19" s="8" t="s">
        <v>5</v>
      </c>
      <c r="J19" s="8"/>
    </row>
    <row r="20" customFormat="false" ht="32.8" hidden="false" customHeight="false" outlineLevel="0" collapsed="false">
      <c r="A20" s="8" t="s">
        <v>92</v>
      </c>
      <c r="B20" s="8" t="s">
        <v>75</v>
      </c>
      <c r="C20" s="8" t="s">
        <v>93</v>
      </c>
      <c r="D20" s="8" t="s">
        <v>39</v>
      </c>
      <c r="E20" s="8" t="s">
        <v>94</v>
      </c>
      <c r="F20" s="8" t="s">
        <v>22</v>
      </c>
      <c r="G20" s="8"/>
      <c r="H20" s="8"/>
      <c r="I20" s="8" t="s">
        <v>5</v>
      </c>
      <c r="J20" s="8"/>
    </row>
    <row r="21" customFormat="false" ht="22.35" hidden="false" customHeight="false" outlineLevel="0" collapsed="false">
      <c r="A21" s="8" t="s">
        <v>95</v>
      </c>
      <c r="B21" s="8" t="s">
        <v>75</v>
      </c>
      <c r="C21" s="8" t="s">
        <v>96</v>
      </c>
      <c r="D21" s="8" t="s">
        <v>39</v>
      </c>
      <c r="E21" s="8" t="s">
        <v>97</v>
      </c>
      <c r="F21" s="8" t="s">
        <v>22</v>
      </c>
      <c r="G21" s="8"/>
      <c r="H21" s="8"/>
      <c r="I21" s="8" t="s">
        <v>5</v>
      </c>
      <c r="J21" s="8"/>
    </row>
    <row r="22" customFormat="false" ht="22.35" hidden="false" customHeight="false" outlineLevel="0" collapsed="false">
      <c r="A22" s="8" t="s">
        <v>98</v>
      </c>
      <c r="B22" s="8" t="s">
        <v>75</v>
      </c>
      <c r="C22" s="8" t="s">
        <v>99</v>
      </c>
      <c r="D22" s="8" t="s">
        <v>39</v>
      </c>
      <c r="E22" s="8"/>
      <c r="F22" s="8" t="s">
        <v>22</v>
      </c>
      <c r="G22" s="8"/>
      <c r="H22" s="8"/>
      <c r="I22" s="8" t="s">
        <v>5</v>
      </c>
      <c r="J22" s="8"/>
    </row>
    <row r="23" customFormat="false" ht="32.8" hidden="false" customHeight="false" outlineLevel="0" collapsed="false">
      <c r="A23" s="8" t="s">
        <v>100</v>
      </c>
      <c r="B23" s="8" t="s">
        <v>75</v>
      </c>
      <c r="C23" s="8" t="s">
        <v>101</v>
      </c>
      <c r="D23" s="8" t="s">
        <v>39</v>
      </c>
      <c r="E23" s="8"/>
      <c r="F23" s="8" t="s">
        <v>22</v>
      </c>
      <c r="G23" s="8"/>
      <c r="H23" s="8"/>
      <c r="I23" s="8" t="s">
        <v>5</v>
      </c>
      <c r="J23" s="8"/>
    </row>
    <row r="24" customFormat="false" ht="32.8" hidden="false" customHeight="false" outlineLevel="0" collapsed="false">
      <c r="A24" s="8" t="s">
        <v>102</v>
      </c>
      <c r="B24" s="8" t="s">
        <v>103</v>
      </c>
      <c r="C24" s="8" t="s">
        <v>104</v>
      </c>
      <c r="D24" s="8" t="s">
        <v>39</v>
      </c>
      <c r="E24" s="8" t="s">
        <v>105</v>
      </c>
      <c r="F24" s="8" t="s">
        <v>22</v>
      </c>
      <c r="G24" s="8"/>
      <c r="H24" s="8"/>
      <c r="I24" s="8" t="s">
        <v>5</v>
      </c>
      <c r="J24" s="8"/>
    </row>
    <row r="25" customFormat="false" ht="22.35" hidden="false" customHeight="false" outlineLevel="0" collapsed="false">
      <c r="A25" s="8" t="s">
        <v>106</v>
      </c>
      <c r="B25" s="8" t="s">
        <v>103</v>
      </c>
      <c r="C25" s="8" t="s">
        <v>107</v>
      </c>
      <c r="D25" s="8" t="s">
        <v>39</v>
      </c>
      <c r="E25" s="8" t="s">
        <v>108</v>
      </c>
      <c r="F25" s="8" t="s">
        <v>22</v>
      </c>
      <c r="G25" s="8"/>
      <c r="H25" s="8"/>
      <c r="I25" s="8" t="s">
        <v>5</v>
      </c>
      <c r="J25" s="8"/>
    </row>
    <row r="26" customFormat="false" ht="22.35" hidden="false" customHeight="false" outlineLevel="0" collapsed="false">
      <c r="A26" s="8" t="s">
        <v>109</v>
      </c>
      <c r="B26" s="8" t="s">
        <v>103</v>
      </c>
      <c r="C26" s="8" t="s">
        <v>110</v>
      </c>
      <c r="D26" s="8" t="s">
        <v>39</v>
      </c>
      <c r="E26" s="8" t="s">
        <v>111</v>
      </c>
      <c r="F26" s="8" t="s">
        <v>22</v>
      </c>
      <c r="G26" s="8"/>
      <c r="H26" s="8"/>
      <c r="I26" s="8" t="s">
        <v>5</v>
      </c>
      <c r="J26" s="8"/>
    </row>
    <row r="27" customFormat="false" ht="32.8" hidden="false" customHeight="false" outlineLevel="0" collapsed="false">
      <c r="A27" s="8" t="s">
        <v>112</v>
      </c>
      <c r="B27" s="8" t="s">
        <v>103</v>
      </c>
      <c r="C27" s="8" t="s">
        <v>113</v>
      </c>
      <c r="D27" s="8" t="s">
        <v>39</v>
      </c>
      <c r="E27" s="8" t="s">
        <v>114</v>
      </c>
      <c r="F27" s="8" t="s">
        <v>22</v>
      </c>
      <c r="G27" s="8"/>
      <c r="H27" s="8"/>
      <c r="I27" s="8" t="s">
        <v>5</v>
      </c>
      <c r="J27" s="8"/>
    </row>
    <row r="28" customFormat="false" ht="22.35" hidden="false" customHeight="false" outlineLevel="0" collapsed="false">
      <c r="A28" s="8" t="s">
        <v>115</v>
      </c>
      <c r="B28" s="8" t="s">
        <v>103</v>
      </c>
      <c r="C28" s="8" t="s">
        <v>116</v>
      </c>
      <c r="D28" s="8" t="s">
        <v>39</v>
      </c>
      <c r="E28" s="8" t="s">
        <v>117</v>
      </c>
      <c r="F28" s="8" t="s">
        <v>22</v>
      </c>
      <c r="G28" s="8"/>
      <c r="H28" s="8"/>
      <c r="I28" s="8" t="s">
        <v>5</v>
      </c>
      <c r="J28" s="8"/>
    </row>
    <row r="29" customFormat="false" ht="53.7" hidden="false" customHeight="false" outlineLevel="0" collapsed="false">
      <c r="A29" s="8" t="s">
        <v>118</v>
      </c>
      <c r="B29" s="8" t="s">
        <v>119</v>
      </c>
      <c r="C29" s="8" t="s">
        <v>120</v>
      </c>
      <c r="D29" s="8" t="s">
        <v>39</v>
      </c>
      <c r="E29" s="8"/>
      <c r="F29" s="8" t="s">
        <v>22</v>
      </c>
      <c r="G29" s="8"/>
      <c r="H29" s="8"/>
      <c r="I29" s="8" t="s">
        <v>5</v>
      </c>
      <c r="J29" s="8"/>
    </row>
    <row r="30" customFormat="false" ht="32.8" hidden="false" customHeight="false" outlineLevel="0" collapsed="false">
      <c r="A30" s="8" t="s">
        <v>121</v>
      </c>
      <c r="B30" s="8" t="s">
        <v>119</v>
      </c>
      <c r="C30" s="8" t="s">
        <v>122</v>
      </c>
      <c r="D30" s="8" t="s">
        <v>39</v>
      </c>
      <c r="E30" s="8" t="s">
        <v>123</v>
      </c>
      <c r="F30" s="8" t="s">
        <v>22</v>
      </c>
      <c r="G30" s="8"/>
      <c r="H30" s="8"/>
      <c r="I30" s="8" t="s">
        <v>5</v>
      </c>
      <c r="J30" s="8"/>
    </row>
    <row r="31" customFormat="false" ht="22.35" hidden="false" customHeight="false" outlineLevel="0" collapsed="false">
      <c r="A31" s="8" t="s">
        <v>124</v>
      </c>
      <c r="B31" s="8" t="s">
        <v>119</v>
      </c>
      <c r="C31" s="8" t="s">
        <v>125</v>
      </c>
      <c r="D31" s="8" t="s">
        <v>39</v>
      </c>
      <c r="E31" s="8"/>
      <c r="F31" s="8" t="s">
        <v>22</v>
      </c>
      <c r="G31" s="8"/>
      <c r="H31" s="8"/>
      <c r="I31" s="8" t="s">
        <v>5</v>
      </c>
      <c r="J31" s="8"/>
    </row>
    <row r="32" customFormat="false" ht="22.35" hidden="false" customHeight="false" outlineLevel="0" collapsed="false">
      <c r="A32" s="8" t="s">
        <v>126</v>
      </c>
      <c r="B32" s="8" t="s">
        <v>119</v>
      </c>
      <c r="C32" s="8" t="s">
        <v>127</v>
      </c>
      <c r="D32" s="8" t="s">
        <v>39</v>
      </c>
      <c r="E32" s="8"/>
      <c r="F32" s="8" t="s">
        <v>22</v>
      </c>
      <c r="G32" s="8"/>
      <c r="H32" s="8"/>
      <c r="I32" s="8" t="s">
        <v>5</v>
      </c>
      <c r="J32" s="8"/>
    </row>
    <row r="33" customFormat="false" ht="32.8" hidden="false" customHeight="false" outlineLevel="0" collapsed="false">
      <c r="A33" s="8" t="s">
        <v>128</v>
      </c>
      <c r="B33" s="8" t="s">
        <v>119</v>
      </c>
      <c r="C33" s="8" t="s">
        <v>129</v>
      </c>
      <c r="D33" s="8" t="s">
        <v>39</v>
      </c>
      <c r="E33" s="8" t="s">
        <v>130</v>
      </c>
      <c r="F33" s="8" t="s">
        <v>22</v>
      </c>
      <c r="G33" s="8"/>
      <c r="H33" s="8"/>
      <c r="I33" s="8" t="s">
        <v>5</v>
      </c>
      <c r="J33" s="8"/>
    </row>
    <row r="34" customFormat="false" ht="22.35" hidden="false" customHeight="false" outlineLevel="0" collapsed="false">
      <c r="A34" s="8" t="s">
        <v>131</v>
      </c>
      <c r="B34" s="8" t="s">
        <v>132</v>
      </c>
      <c r="C34" s="8" t="s">
        <v>133</v>
      </c>
      <c r="D34" s="8" t="s">
        <v>39</v>
      </c>
      <c r="E34" s="8" t="s">
        <v>134</v>
      </c>
      <c r="F34" s="8" t="s">
        <v>22</v>
      </c>
      <c r="G34" s="8"/>
      <c r="H34" s="8"/>
      <c r="I34" s="8" t="s">
        <v>5</v>
      </c>
      <c r="J34" s="8"/>
    </row>
    <row r="35" customFormat="false" ht="32.8" hidden="false" customHeight="false" outlineLevel="0" collapsed="false">
      <c r="A35" s="8" t="s">
        <v>135</v>
      </c>
      <c r="B35" s="8" t="s">
        <v>132</v>
      </c>
      <c r="C35" s="8" t="s">
        <v>136</v>
      </c>
      <c r="D35" s="8" t="s">
        <v>39</v>
      </c>
      <c r="E35" s="8" t="s">
        <v>137</v>
      </c>
      <c r="F35" s="8" t="s">
        <v>22</v>
      </c>
      <c r="G35" s="8"/>
      <c r="H35" s="8"/>
      <c r="I35" s="8" t="s">
        <v>5</v>
      </c>
      <c r="J35" s="8"/>
    </row>
    <row r="36" customFormat="false" ht="22.35" hidden="false" customHeight="false" outlineLevel="0" collapsed="false">
      <c r="A36" s="8" t="s">
        <v>138</v>
      </c>
      <c r="B36" s="8" t="s">
        <v>132</v>
      </c>
      <c r="C36" s="8" t="s">
        <v>139</v>
      </c>
      <c r="D36" s="8" t="s">
        <v>39</v>
      </c>
      <c r="E36" s="8"/>
      <c r="F36" s="8" t="s">
        <v>22</v>
      </c>
      <c r="G36" s="8"/>
      <c r="H36" s="8"/>
      <c r="I36" s="8" t="s">
        <v>5</v>
      </c>
      <c r="J36" s="8"/>
    </row>
    <row r="37" customFormat="false" ht="22.35" hidden="false" customHeight="false" outlineLevel="0" collapsed="false">
      <c r="A37" s="8" t="s">
        <v>140</v>
      </c>
      <c r="B37" s="8" t="s">
        <v>141</v>
      </c>
      <c r="C37" s="8" t="s">
        <v>142</v>
      </c>
      <c r="D37" s="8" t="s">
        <v>39</v>
      </c>
      <c r="E37" s="8" t="s">
        <v>143</v>
      </c>
      <c r="F37" s="8" t="s">
        <v>22</v>
      </c>
      <c r="G37" s="8"/>
      <c r="H37" s="8"/>
      <c r="I37" s="8" t="s">
        <v>5</v>
      </c>
      <c r="J37" s="8"/>
    </row>
    <row r="38" customFormat="false" ht="43.25" hidden="false" customHeight="false" outlineLevel="0" collapsed="false">
      <c r="A38" s="8" t="s">
        <v>144</v>
      </c>
      <c r="B38" s="8" t="s">
        <v>141</v>
      </c>
      <c r="C38" s="8" t="s">
        <v>145</v>
      </c>
      <c r="D38" s="8" t="s">
        <v>39</v>
      </c>
      <c r="E38" s="8" t="s">
        <v>146</v>
      </c>
      <c r="F38" s="8" t="s">
        <v>22</v>
      </c>
      <c r="G38" s="8"/>
      <c r="H38" s="8"/>
      <c r="I38" s="8" t="s">
        <v>5</v>
      </c>
      <c r="J38" s="8"/>
    </row>
    <row r="39" customFormat="false" ht="22.35" hidden="false" customHeight="false" outlineLevel="0" collapsed="false">
      <c r="A39" s="8" t="s">
        <v>147</v>
      </c>
      <c r="B39" s="8" t="s">
        <v>141</v>
      </c>
      <c r="C39" s="8" t="s">
        <v>148</v>
      </c>
      <c r="D39" s="8" t="s">
        <v>39</v>
      </c>
      <c r="E39" s="8" t="s">
        <v>149</v>
      </c>
      <c r="F39" s="8" t="s">
        <v>22</v>
      </c>
      <c r="G39" s="8"/>
      <c r="H39" s="8"/>
      <c r="I39" s="8" t="s">
        <v>5</v>
      </c>
      <c r="J39" s="8"/>
    </row>
    <row r="40" customFormat="false" ht="43.25" hidden="false" customHeight="false" outlineLevel="0" collapsed="false">
      <c r="A40" s="8" t="s">
        <v>150</v>
      </c>
      <c r="B40" s="8" t="s">
        <v>151</v>
      </c>
      <c r="C40" s="8" t="s">
        <v>152</v>
      </c>
      <c r="D40" s="8" t="s">
        <v>39</v>
      </c>
      <c r="E40" s="8" t="s">
        <v>153</v>
      </c>
      <c r="F40" s="8" t="s">
        <v>22</v>
      </c>
      <c r="G40" s="8"/>
      <c r="H40" s="8"/>
      <c r="I40" s="8" t="s">
        <v>5</v>
      </c>
      <c r="J40" s="8"/>
    </row>
    <row r="41" customFormat="false" ht="22.35" hidden="false" customHeight="false" outlineLevel="0" collapsed="false">
      <c r="A41" s="8" t="s">
        <v>154</v>
      </c>
      <c r="B41" s="8" t="s">
        <v>151</v>
      </c>
      <c r="C41" s="8" t="s">
        <v>155</v>
      </c>
      <c r="D41" s="8" t="s">
        <v>39</v>
      </c>
      <c r="E41" s="8" t="s">
        <v>156</v>
      </c>
      <c r="F41" s="8" t="s">
        <v>22</v>
      </c>
      <c r="G41" s="8"/>
      <c r="H41" s="8"/>
      <c r="I41" s="8" t="s">
        <v>5</v>
      </c>
      <c r="J41" s="8"/>
    </row>
    <row r="42" customFormat="false" ht="32.8" hidden="false" customHeight="false" outlineLevel="0" collapsed="false">
      <c r="A42" s="8" t="s">
        <v>157</v>
      </c>
      <c r="B42" s="8" t="s">
        <v>151</v>
      </c>
      <c r="C42" s="8" t="s">
        <v>158</v>
      </c>
      <c r="D42" s="8" t="s">
        <v>39</v>
      </c>
      <c r="E42" s="8" t="s">
        <v>159</v>
      </c>
      <c r="F42" s="8" t="s">
        <v>22</v>
      </c>
      <c r="G42" s="8"/>
      <c r="H42" s="8"/>
      <c r="I42" s="8" t="s">
        <v>5</v>
      </c>
      <c r="J42" s="8"/>
    </row>
    <row r="43" customFormat="false" ht="22.35" hidden="false" customHeight="false" outlineLevel="0" collapsed="false">
      <c r="A43" s="8" t="s">
        <v>160</v>
      </c>
      <c r="B43" s="8" t="s">
        <v>151</v>
      </c>
      <c r="C43" s="8" t="s">
        <v>161</v>
      </c>
      <c r="D43" s="8" t="s">
        <v>39</v>
      </c>
      <c r="E43" s="8" t="s">
        <v>162</v>
      </c>
      <c r="F43" s="8" t="s">
        <v>22</v>
      </c>
      <c r="G43" s="8"/>
      <c r="H43" s="8"/>
      <c r="I43" s="8" t="s">
        <v>5</v>
      </c>
      <c r="J43" s="8"/>
    </row>
    <row r="44" customFormat="false" ht="43.25" hidden="false" customHeight="false" outlineLevel="0" collapsed="false">
      <c r="A44" s="8" t="s">
        <v>163</v>
      </c>
      <c r="B44" s="8" t="s">
        <v>151</v>
      </c>
      <c r="C44" s="8" t="s">
        <v>164</v>
      </c>
      <c r="D44" s="8" t="s">
        <v>39</v>
      </c>
      <c r="E44" s="8" t="s">
        <v>165</v>
      </c>
      <c r="F44" s="8" t="s">
        <v>22</v>
      </c>
      <c r="G44" s="8"/>
      <c r="H44" s="8"/>
      <c r="I44" s="8" t="s">
        <v>5</v>
      </c>
      <c r="J44" s="8"/>
    </row>
    <row r="45" customFormat="false" ht="22.35" hidden="false" customHeight="false" outlineLevel="0" collapsed="false">
      <c r="A45" s="8" t="s">
        <v>166</v>
      </c>
      <c r="B45" s="8" t="s">
        <v>167</v>
      </c>
      <c r="C45" s="8" t="s">
        <v>168</v>
      </c>
      <c r="D45" s="8" t="s">
        <v>39</v>
      </c>
      <c r="E45" s="8" t="s">
        <v>169</v>
      </c>
      <c r="F45" s="8" t="s">
        <v>22</v>
      </c>
      <c r="G45" s="8"/>
      <c r="H45" s="8"/>
      <c r="I45" s="8" t="s">
        <v>5</v>
      </c>
      <c r="J45" s="8"/>
    </row>
    <row r="46" customFormat="false" ht="22.35" hidden="false" customHeight="false" outlineLevel="0" collapsed="false">
      <c r="A46" s="8" t="s">
        <v>170</v>
      </c>
      <c r="B46" s="8" t="s">
        <v>167</v>
      </c>
      <c r="C46" s="8" t="s">
        <v>171</v>
      </c>
      <c r="D46" s="8" t="s">
        <v>39</v>
      </c>
      <c r="E46" s="8" t="s">
        <v>172</v>
      </c>
      <c r="F46" s="8" t="s">
        <v>22</v>
      </c>
      <c r="G46" s="8"/>
      <c r="H46" s="8"/>
      <c r="I46" s="8" t="s">
        <v>5</v>
      </c>
      <c r="J46" s="8"/>
    </row>
    <row r="47" customFormat="false" ht="22.35" hidden="false" customHeight="false" outlineLevel="0" collapsed="false">
      <c r="A47" s="8" t="s">
        <v>173</v>
      </c>
      <c r="B47" s="8" t="s">
        <v>167</v>
      </c>
      <c r="C47" s="8" t="s">
        <v>174</v>
      </c>
      <c r="D47" s="8" t="s">
        <v>39</v>
      </c>
      <c r="E47" s="8" t="s">
        <v>175</v>
      </c>
      <c r="F47" s="8" t="s">
        <v>22</v>
      </c>
      <c r="G47" s="8"/>
      <c r="H47" s="8"/>
      <c r="I47" s="8" t="s">
        <v>5</v>
      </c>
      <c r="J47" s="8"/>
    </row>
    <row r="48" customFormat="false" ht="32.8" hidden="false" customHeight="false" outlineLevel="0" collapsed="false">
      <c r="A48" s="8" t="s">
        <v>176</v>
      </c>
      <c r="B48" s="8" t="s">
        <v>167</v>
      </c>
      <c r="C48" s="8" t="s">
        <v>177</v>
      </c>
      <c r="D48" s="8" t="s">
        <v>39</v>
      </c>
      <c r="E48" s="8"/>
      <c r="F48" s="8" t="s">
        <v>22</v>
      </c>
      <c r="G48" s="8"/>
      <c r="H48" s="8"/>
      <c r="I48" s="8" t="s">
        <v>5</v>
      </c>
      <c r="J48" s="8"/>
    </row>
    <row r="49" customFormat="false" ht="32.8" hidden="false" customHeight="false" outlineLevel="0" collapsed="false">
      <c r="A49" s="8" t="s">
        <v>178</v>
      </c>
      <c r="B49" s="8" t="s">
        <v>179</v>
      </c>
      <c r="C49" s="8" t="s">
        <v>180</v>
      </c>
      <c r="D49" s="8" t="s">
        <v>39</v>
      </c>
      <c r="E49" s="8" t="s">
        <v>181</v>
      </c>
      <c r="F49" s="8" t="s">
        <v>22</v>
      </c>
      <c r="G49" s="8"/>
      <c r="H49" s="8"/>
      <c r="I49" s="8" t="s">
        <v>5</v>
      </c>
      <c r="J49" s="8"/>
    </row>
    <row r="50" customFormat="false" ht="32.8" hidden="false" customHeight="false" outlineLevel="0" collapsed="false">
      <c r="A50" s="8" t="s">
        <v>182</v>
      </c>
      <c r="B50" s="8" t="s">
        <v>179</v>
      </c>
      <c r="C50" s="8" t="s">
        <v>183</v>
      </c>
      <c r="D50" s="8" t="s">
        <v>39</v>
      </c>
      <c r="E50" s="8" t="s">
        <v>184</v>
      </c>
      <c r="F50" s="8" t="s">
        <v>22</v>
      </c>
      <c r="G50" s="8"/>
      <c r="H50" s="8"/>
      <c r="I50" s="8" t="s">
        <v>5</v>
      </c>
      <c r="J50" s="8"/>
    </row>
    <row r="51" customFormat="false" ht="32.8" hidden="false" customHeight="false" outlineLevel="0" collapsed="false">
      <c r="A51" s="8" t="s">
        <v>185</v>
      </c>
      <c r="B51" s="8" t="s">
        <v>179</v>
      </c>
      <c r="C51" s="8" t="s">
        <v>186</v>
      </c>
      <c r="D51" s="8" t="s">
        <v>39</v>
      </c>
      <c r="E51" s="8" t="s">
        <v>187</v>
      </c>
      <c r="F51" s="8" t="s">
        <v>22</v>
      </c>
      <c r="G51" s="8"/>
      <c r="H51" s="8"/>
      <c r="I51" s="8" t="s">
        <v>5</v>
      </c>
      <c r="J51" s="8"/>
    </row>
    <row r="52" customFormat="false" ht="32.8" hidden="false" customHeight="false" outlineLevel="0" collapsed="false">
      <c r="A52" s="8" t="s">
        <v>188</v>
      </c>
      <c r="B52" s="8" t="s">
        <v>179</v>
      </c>
      <c r="C52" s="8" t="s">
        <v>189</v>
      </c>
      <c r="D52" s="8" t="s">
        <v>39</v>
      </c>
      <c r="E52" s="8"/>
      <c r="F52" s="8" t="s">
        <v>22</v>
      </c>
      <c r="G52" s="8"/>
      <c r="H52" s="8"/>
      <c r="I52" s="8" t="s">
        <v>5</v>
      </c>
      <c r="J52" s="8"/>
    </row>
    <row r="53" customFormat="false" ht="32.8" hidden="false" customHeight="false" outlineLevel="0" collapsed="false">
      <c r="A53" s="8" t="s">
        <v>190</v>
      </c>
      <c r="B53" s="8" t="s">
        <v>179</v>
      </c>
      <c r="C53" s="8" t="s">
        <v>191</v>
      </c>
      <c r="D53" s="8" t="s">
        <v>39</v>
      </c>
      <c r="E53" s="8" t="s">
        <v>192</v>
      </c>
      <c r="F53" s="8" t="s">
        <v>22</v>
      </c>
      <c r="G53" s="8"/>
      <c r="H53" s="8"/>
      <c r="I53" s="8" t="s">
        <v>5</v>
      </c>
      <c r="J53" s="8"/>
    </row>
    <row r="54" customFormat="false" ht="32.8" hidden="false" customHeight="false" outlineLevel="0" collapsed="false">
      <c r="A54" s="8" t="s">
        <v>193</v>
      </c>
      <c r="B54" s="8" t="s">
        <v>179</v>
      </c>
      <c r="C54" s="8" t="s">
        <v>194</v>
      </c>
      <c r="D54" s="8" t="s">
        <v>39</v>
      </c>
      <c r="E54" s="8" t="s">
        <v>195</v>
      </c>
      <c r="F54" s="8" t="s">
        <v>22</v>
      </c>
      <c r="G54" s="8"/>
      <c r="H54" s="8"/>
      <c r="I54" s="8" t="s">
        <v>5</v>
      </c>
      <c r="J54" s="8"/>
    </row>
    <row r="55" customFormat="false" ht="22.35" hidden="false" customHeight="false" outlineLevel="0" collapsed="false">
      <c r="A55" s="8" t="s">
        <v>196</v>
      </c>
      <c r="B55" s="8" t="s">
        <v>197</v>
      </c>
      <c r="C55" s="8" t="s">
        <v>198</v>
      </c>
      <c r="D55" s="8" t="s">
        <v>39</v>
      </c>
      <c r="E55" s="8"/>
      <c r="F55" s="8" t="s">
        <v>22</v>
      </c>
      <c r="G55" s="8"/>
      <c r="H55" s="8"/>
      <c r="I55" s="8" t="s">
        <v>5</v>
      </c>
      <c r="J55" s="8"/>
    </row>
    <row r="56" customFormat="false" ht="32.8" hidden="false" customHeight="false" outlineLevel="0" collapsed="false">
      <c r="A56" s="8" t="s">
        <v>199</v>
      </c>
      <c r="B56" s="8" t="s">
        <v>197</v>
      </c>
      <c r="C56" s="8" t="s">
        <v>200</v>
      </c>
      <c r="D56" s="8" t="s">
        <v>39</v>
      </c>
      <c r="E56" s="8"/>
      <c r="F56" s="8" t="s">
        <v>22</v>
      </c>
      <c r="G56" s="8"/>
      <c r="H56" s="8"/>
      <c r="I56" s="8" t="s">
        <v>5</v>
      </c>
      <c r="J56" s="8"/>
    </row>
    <row r="57" customFormat="false" ht="43.25" hidden="false" customHeight="false" outlineLevel="0" collapsed="false">
      <c r="A57" s="8" t="s">
        <v>201</v>
      </c>
      <c r="B57" s="8" t="s">
        <v>197</v>
      </c>
      <c r="C57" s="8" t="s">
        <v>202</v>
      </c>
      <c r="D57" s="8" t="s">
        <v>39</v>
      </c>
      <c r="E57" s="8" t="s">
        <v>203</v>
      </c>
      <c r="F57" s="8" t="s">
        <v>22</v>
      </c>
      <c r="G57" s="8"/>
      <c r="H57" s="8"/>
      <c r="I57" s="8" t="s">
        <v>5</v>
      </c>
      <c r="J57" s="8"/>
    </row>
    <row r="58" customFormat="false" ht="22.35" hidden="false" customHeight="false" outlineLevel="0" collapsed="false">
      <c r="A58" s="8" t="s">
        <v>204</v>
      </c>
      <c r="B58" s="8" t="s">
        <v>197</v>
      </c>
      <c r="C58" s="8" t="s">
        <v>205</v>
      </c>
      <c r="D58" s="8" t="s">
        <v>39</v>
      </c>
      <c r="E58" s="8" t="s">
        <v>206</v>
      </c>
      <c r="F58" s="8" t="s">
        <v>22</v>
      </c>
      <c r="G58" s="8"/>
      <c r="H58" s="8"/>
      <c r="I58" s="8" t="s">
        <v>5</v>
      </c>
      <c r="J58" s="8"/>
    </row>
    <row r="59" customFormat="false" ht="22.35" hidden="false" customHeight="false" outlineLevel="0" collapsed="false">
      <c r="A59" s="8" t="s">
        <v>207</v>
      </c>
      <c r="B59" s="8" t="s">
        <v>197</v>
      </c>
      <c r="C59" s="8" t="s">
        <v>208</v>
      </c>
      <c r="D59" s="8" t="s">
        <v>39</v>
      </c>
      <c r="E59" s="8" t="s">
        <v>209</v>
      </c>
      <c r="F59" s="8" t="s">
        <v>22</v>
      </c>
      <c r="G59" s="8"/>
      <c r="H59" s="8"/>
      <c r="I59" s="8" t="s">
        <v>5</v>
      </c>
      <c r="J59" s="8"/>
    </row>
    <row r="60" customFormat="false" ht="22.35" hidden="false" customHeight="false" outlineLevel="0" collapsed="false">
      <c r="A60" s="8" t="s">
        <v>210</v>
      </c>
      <c r="B60" s="8" t="s">
        <v>197</v>
      </c>
      <c r="C60" s="8" t="s">
        <v>211</v>
      </c>
      <c r="D60" s="8" t="s">
        <v>39</v>
      </c>
      <c r="E60" s="8" t="s">
        <v>212</v>
      </c>
      <c r="F60" s="8" t="s">
        <v>22</v>
      </c>
      <c r="G60" s="8"/>
      <c r="H60" s="8"/>
      <c r="I60" s="8" t="s">
        <v>5</v>
      </c>
      <c r="J60" s="8"/>
    </row>
    <row r="61" customFormat="false" ht="22.35" hidden="false" customHeight="false" outlineLevel="0" collapsed="false">
      <c r="A61" s="8" t="s">
        <v>213</v>
      </c>
      <c r="B61" s="8" t="s">
        <v>197</v>
      </c>
      <c r="C61" s="8" t="s">
        <v>214</v>
      </c>
      <c r="D61" s="8" t="s">
        <v>39</v>
      </c>
      <c r="E61" s="8"/>
      <c r="F61" s="8" t="s">
        <v>22</v>
      </c>
      <c r="G61" s="8"/>
      <c r="H61" s="8"/>
      <c r="I61" s="8" t="s">
        <v>5</v>
      </c>
      <c r="J61" s="8"/>
    </row>
    <row r="62" customFormat="false" ht="22.35" hidden="false" customHeight="false" outlineLevel="0" collapsed="false">
      <c r="A62" s="8" t="s">
        <v>215</v>
      </c>
      <c r="B62" s="8" t="s">
        <v>216</v>
      </c>
      <c r="C62" s="8" t="s">
        <v>217</v>
      </c>
      <c r="D62" s="8" t="s">
        <v>39</v>
      </c>
      <c r="E62" s="8" t="s">
        <v>218</v>
      </c>
      <c r="F62" s="8" t="s">
        <v>22</v>
      </c>
      <c r="G62" s="8"/>
      <c r="H62" s="8"/>
      <c r="I62" s="8" t="s">
        <v>5</v>
      </c>
      <c r="J62" s="8"/>
    </row>
    <row r="63" customFormat="false" ht="22.35" hidden="false" customHeight="false" outlineLevel="0" collapsed="false">
      <c r="A63" s="8" t="s">
        <v>219</v>
      </c>
      <c r="B63" s="8" t="s">
        <v>216</v>
      </c>
      <c r="C63" s="8" t="s">
        <v>220</v>
      </c>
      <c r="D63" s="8" t="s">
        <v>39</v>
      </c>
      <c r="E63" s="8" t="s">
        <v>221</v>
      </c>
      <c r="F63" s="8" t="s">
        <v>22</v>
      </c>
      <c r="G63" s="8"/>
      <c r="H63" s="8"/>
      <c r="I63" s="8" t="s">
        <v>5</v>
      </c>
      <c r="J63" s="8"/>
    </row>
    <row r="64" customFormat="false" ht="22.35" hidden="false" customHeight="false" outlineLevel="0" collapsed="false">
      <c r="A64" s="8" t="s">
        <v>222</v>
      </c>
      <c r="B64" s="8" t="s">
        <v>216</v>
      </c>
      <c r="C64" s="8" t="s">
        <v>223</v>
      </c>
      <c r="D64" s="8" t="s">
        <v>39</v>
      </c>
      <c r="E64" s="8" t="s">
        <v>224</v>
      </c>
      <c r="F64" s="8" t="s">
        <v>22</v>
      </c>
      <c r="G64" s="8"/>
      <c r="H64" s="8"/>
      <c r="I64" s="8" t="s">
        <v>5</v>
      </c>
      <c r="J64" s="8"/>
    </row>
    <row r="65" customFormat="false" ht="32.8" hidden="false" customHeight="false" outlineLevel="0" collapsed="false">
      <c r="A65" s="8" t="s">
        <v>225</v>
      </c>
      <c r="B65" s="8" t="s">
        <v>216</v>
      </c>
      <c r="C65" s="8" t="s">
        <v>226</v>
      </c>
      <c r="D65" s="8" t="s">
        <v>39</v>
      </c>
      <c r="E65" s="8"/>
      <c r="F65" s="8" t="s">
        <v>22</v>
      </c>
      <c r="G65" s="8"/>
      <c r="H65" s="8"/>
      <c r="I65" s="8" t="s">
        <v>5</v>
      </c>
      <c r="J65" s="8"/>
    </row>
    <row r="66" customFormat="false" ht="32.8" hidden="false" customHeight="false" outlineLevel="0" collapsed="false">
      <c r="A66" s="8" t="s">
        <v>227</v>
      </c>
      <c r="B66" s="8" t="s">
        <v>228</v>
      </c>
      <c r="C66" s="8" t="s">
        <v>229</v>
      </c>
      <c r="D66" s="8" t="s">
        <v>39</v>
      </c>
      <c r="E66" s="8"/>
      <c r="F66" s="8" t="s">
        <v>22</v>
      </c>
      <c r="G66" s="8"/>
      <c r="H66" s="8"/>
      <c r="I66" s="8" t="s">
        <v>5</v>
      </c>
      <c r="J66" s="8"/>
    </row>
    <row r="67" customFormat="false" ht="22.35" hidden="false" customHeight="false" outlineLevel="0" collapsed="false">
      <c r="A67" s="8" t="s">
        <v>230</v>
      </c>
      <c r="B67" s="8" t="s">
        <v>228</v>
      </c>
      <c r="C67" s="8" t="s">
        <v>231</v>
      </c>
      <c r="D67" s="8" t="s">
        <v>39</v>
      </c>
      <c r="E67" s="8"/>
      <c r="F67" s="8" t="s">
        <v>22</v>
      </c>
      <c r="G67" s="8"/>
      <c r="H67" s="8"/>
      <c r="I67" s="8" t="s">
        <v>5</v>
      </c>
      <c r="J67" s="8"/>
    </row>
    <row r="68" customFormat="false" ht="22.35" hidden="false" customHeight="false" outlineLevel="0" collapsed="false">
      <c r="A68" s="8" t="s">
        <v>232</v>
      </c>
      <c r="B68" s="8" t="s">
        <v>228</v>
      </c>
      <c r="C68" s="8" t="s">
        <v>233</v>
      </c>
      <c r="D68" s="8" t="s">
        <v>39</v>
      </c>
      <c r="E68" s="8" t="s">
        <v>234</v>
      </c>
      <c r="F68" s="8" t="s">
        <v>22</v>
      </c>
      <c r="G68" s="8"/>
      <c r="H68" s="8"/>
      <c r="I68" s="8" t="s">
        <v>5</v>
      </c>
      <c r="J68" s="8"/>
    </row>
    <row r="69" customFormat="false" ht="22.35" hidden="false" customHeight="false" outlineLevel="0" collapsed="false">
      <c r="A69" s="8" t="s">
        <v>235</v>
      </c>
      <c r="B69" s="8" t="s">
        <v>236</v>
      </c>
      <c r="C69" s="8" t="s">
        <v>237</v>
      </c>
      <c r="D69" s="8" t="s">
        <v>39</v>
      </c>
      <c r="E69" s="8" t="s">
        <v>238</v>
      </c>
      <c r="F69" s="8" t="s">
        <v>22</v>
      </c>
      <c r="G69" s="8"/>
      <c r="H69" s="8"/>
      <c r="I69" s="8" t="s">
        <v>5</v>
      </c>
      <c r="J69" s="8"/>
    </row>
    <row r="70" customFormat="false" ht="22.35" hidden="false" customHeight="false" outlineLevel="0" collapsed="false">
      <c r="A70" s="8" t="s">
        <v>239</v>
      </c>
      <c r="B70" s="8" t="s">
        <v>236</v>
      </c>
      <c r="C70" s="8" t="s">
        <v>240</v>
      </c>
      <c r="D70" s="8" t="s">
        <v>39</v>
      </c>
      <c r="E70" s="8" t="s">
        <v>241</v>
      </c>
      <c r="F70" s="8" t="s">
        <v>22</v>
      </c>
      <c r="G70" s="8"/>
      <c r="H70" s="8"/>
      <c r="I70" s="8" t="s">
        <v>5</v>
      </c>
      <c r="J70" s="8"/>
    </row>
    <row r="71" customFormat="false" ht="22.35" hidden="false" customHeight="false" outlineLevel="0" collapsed="false">
      <c r="A71" s="8" t="s">
        <v>242</v>
      </c>
      <c r="B71" s="8" t="s">
        <v>236</v>
      </c>
      <c r="C71" s="8" t="s">
        <v>243</v>
      </c>
      <c r="D71" s="8" t="s">
        <v>39</v>
      </c>
      <c r="E71" s="8" t="s">
        <v>244</v>
      </c>
      <c r="F71" s="8" t="s">
        <v>22</v>
      </c>
      <c r="G71" s="8"/>
      <c r="H71" s="8"/>
      <c r="I71" s="8" t="s">
        <v>5</v>
      </c>
      <c r="J71" s="8"/>
    </row>
    <row r="72" customFormat="false" ht="22.35" hidden="false" customHeight="false" outlineLevel="0" collapsed="false">
      <c r="A72" s="8" t="s">
        <v>245</v>
      </c>
      <c r="B72" s="8" t="s">
        <v>236</v>
      </c>
      <c r="C72" s="8" t="s">
        <v>246</v>
      </c>
      <c r="D72" s="8" t="s">
        <v>39</v>
      </c>
      <c r="E72" s="8" t="s">
        <v>247</v>
      </c>
      <c r="F72" s="8" t="s">
        <v>22</v>
      </c>
      <c r="G72" s="8"/>
      <c r="H72" s="8"/>
      <c r="I72" s="8" t="s">
        <v>5</v>
      </c>
      <c r="J72" s="8"/>
    </row>
    <row r="73" customFormat="false" ht="22.35" hidden="false" customHeight="false" outlineLevel="0" collapsed="false">
      <c r="A73" s="8" t="s">
        <v>248</v>
      </c>
      <c r="B73" s="8" t="s">
        <v>249</v>
      </c>
      <c r="C73" s="8" t="s">
        <v>250</v>
      </c>
      <c r="D73" s="8" t="s">
        <v>39</v>
      </c>
      <c r="E73" s="8" t="s">
        <v>251</v>
      </c>
      <c r="F73" s="8" t="s">
        <v>22</v>
      </c>
      <c r="G73" s="8"/>
      <c r="H73" s="8"/>
      <c r="I73" s="8" t="s">
        <v>5</v>
      </c>
      <c r="J73" s="8"/>
    </row>
    <row r="74" customFormat="false" ht="22.35" hidden="false" customHeight="false" outlineLevel="0" collapsed="false">
      <c r="A74" s="8" t="s">
        <v>252</v>
      </c>
      <c r="B74" s="8" t="s">
        <v>249</v>
      </c>
      <c r="C74" s="8" t="s">
        <v>253</v>
      </c>
      <c r="D74" s="8" t="s">
        <v>39</v>
      </c>
      <c r="E74" s="8" t="s">
        <v>254</v>
      </c>
      <c r="F74" s="8" t="s">
        <v>22</v>
      </c>
      <c r="G74" s="8"/>
      <c r="H74" s="8"/>
      <c r="I74" s="8" t="s">
        <v>5</v>
      </c>
      <c r="J74" s="8"/>
    </row>
    <row r="75" customFormat="false" ht="43.25" hidden="false" customHeight="false" outlineLevel="0" collapsed="false">
      <c r="A75" s="8" t="s">
        <v>255</v>
      </c>
      <c r="B75" s="8" t="s">
        <v>256</v>
      </c>
      <c r="C75" s="8" t="s">
        <v>257</v>
      </c>
      <c r="D75" s="8" t="s">
        <v>39</v>
      </c>
      <c r="E75" s="8" t="s">
        <v>258</v>
      </c>
      <c r="F75" s="8" t="s">
        <v>22</v>
      </c>
      <c r="G75" s="8"/>
      <c r="H75" s="8"/>
      <c r="I75" s="8" t="s">
        <v>5</v>
      </c>
      <c r="J75" s="8"/>
    </row>
    <row r="76" customFormat="false" ht="22.35" hidden="false" customHeight="false" outlineLevel="0" collapsed="false">
      <c r="A76" s="8" t="s">
        <v>259</v>
      </c>
      <c r="B76" s="8" t="s">
        <v>256</v>
      </c>
      <c r="C76" s="8" t="s">
        <v>260</v>
      </c>
      <c r="D76" s="8" t="s">
        <v>39</v>
      </c>
      <c r="E76" s="8" t="s">
        <v>261</v>
      </c>
      <c r="F76" s="8" t="s">
        <v>22</v>
      </c>
      <c r="G76" s="8"/>
      <c r="H76" s="8"/>
      <c r="I76" s="8" t="s">
        <v>5</v>
      </c>
      <c r="J76" s="8"/>
    </row>
    <row r="77" customFormat="false" ht="22.35" hidden="false" customHeight="false" outlineLevel="0" collapsed="false">
      <c r="A77" s="8" t="s">
        <v>262</v>
      </c>
      <c r="B77" s="8" t="s">
        <v>256</v>
      </c>
      <c r="C77" s="8" t="s">
        <v>263</v>
      </c>
      <c r="D77" s="8" t="s">
        <v>39</v>
      </c>
      <c r="E77" s="8" t="s">
        <v>264</v>
      </c>
      <c r="F77" s="8" t="s">
        <v>22</v>
      </c>
      <c r="G77" s="8"/>
      <c r="H77" s="8"/>
      <c r="I77" s="8" t="s">
        <v>5</v>
      </c>
      <c r="J77" s="8"/>
    </row>
    <row r="78" customFormat="false" ht="43.25" hidden="false" customHeight="false" outlineLevel="0" collapsed="false">
      <c r="A78" s="8" t="s">
        <v>265</v>
      </c>
      <c r="B78" s="8" t="s">
        <v>256</v>
      </c>
      <c r="C78" s="8" t="s">
        <v>266</v>
      </c>
      <c r="D78" s="8" t="s">
        <v>39</v>
      </c>
      <c r="E78" s="8" t="s">
        <v>267</v>
      </c>
      <c r="F78" s="8" t="s">
        <v>22</v>
      </c>
      <c r="G78" s="8"/>
      <c r="H78" s="8"/>
      <c r="I78" s="8" t="s">
        <v>5</v>
      </c>
      <c r="J78" s="8"/>
    </row>
    <row r="79" customFormat="false" ht="32.8" hidden="false" customHeight="false" outlineLevel="0" collapsed="false">
      <c r="A79" s="8" t="s">
        <v>268</v>
      </c>
      <c r="B79" s="8" t="s">
        <v>256</v>
      </c>
      <c r="C79" s="8" t="s">
        <v>269</v>
      </c>
      <c r="D79" s="8" t="s">
        <v>39</v>
      </c>
      <c r="E79" s="8" t="s">
        <v>270</v>
      </c>
      <c r="F79" s="8" t="s">
        <v>22</v>
      </c>
      <c r="G79" s="8"/>
      <c r="H79" s="8"/>
      <c r="I79" s="8" t="s">
        <v>5</v>
      </c>
      <c r="J79" s="8"/>
    </row>
    <row r="80" customFormat="false" ht="22.35" hidden="false" customHeight="false" outlineLevel="0" collapsed="false">
      <c r="A80" s="8" t="s">
        <v>271</v>
      </c>
      <c r="B80" s="8" t="s">
        <v>272</v>
      </c>
      <c r="C80" s="8" t="s">
        <v>273</v>
      </c>
      <c r="D80" s="8" t="s">
        <v>39</v>
      </c>
      <c r="E80" s="8" t="s">
        <v>274</v>
      </c>
      <c r="F80" s="8" t="s">
        <v>22</v>
      </c>
      <c r="G80" s="8"/>
      <c r="H80" s="8"/>
      <c r="I80" s="8" t="s">
        <v>5</v>
      </c>
      <c r="J80" s="8"/>
    </row>
    <row r="81" customFormat="false" ht="22.35" hidden="false" customHeight="false" outlineLevel="0" collapsed="false">
      <c r="A81" s="8" t="s">
        <v>275</v>
      </c>
      <c r="B81" s="8" t="s">
        <v>272</v>
      </c>
      <c r="C81" s="8" t="s">
        <v>276</v>
      </c>
      <c r="D81" s="8" t="s">
        <v>39</v>
      </c>
      <c r="E81" s="8" t="s">
        <v>277</v>
      </c>
      <c r="F81" s="8" t="s">
        <v>22</v>
      </c>
      <c r="G81" s="8"/>
      <c r="H81" s="8"/>
      <c r="I81" s="8" t="s">
        <v>5</v>
      </c>
      <c r="J81" s="8"/>
    </row>
    <row r="82" customFormat="false" ht="22.35" hidden="false" customHeight="false" outlineLevel="0" collapsed="false">
      <c r="A82" s="8" t="s">
        <v>278</v>
      </c>
      <c r="B82" s="8" t="s">
        <v>272</v>
      </c>
      <c r="C82" s="8" t="s">
        <v>279</v>
      </c>
      <c r="D82" s="8" t="s">
        <v>39</v>
      </c>
      <c r="E82" s="8" t="s">
        <v>280</v>
      </c>
      <c r="F82" s="8" t="s">
        <v>22</v>
      </c>
      <c r="G82" s="8"/>
      <c r="H82" s="8"/>
      <c r="I82" s="8" t="s">
        <v>5</v>
      </c>
      <c r="J82" s="8"/>
    </row>
    <row r="83" customFormat="false" ht="22.35" hidden="false" customHeight="false" outlineLevel="0" collapsed="false">
      <c r="A83" s="8" t="s">
        <v>281</v>
      </c>
      <c r="B83" s="8" t="s">
        <v>272</v>
      </c>
      <c r="C83" s="8" t="s">
        <v>282</v>
      </c>
      <c r="D83" s="8" t="s">
        <v>39</v>
      </c>
      <c r="E83" s="8" t="s">
        <v>283</v>
      </c>
      <c r="F83" s="8" t="s">
        <v>22</v>
      </c>
      <c r="G83" s="8"/>
      <c r="H83" s="8"/>
      <c r="I83" s="8" t="s">
        <v>5</v>
      </c>
      <c r="J83" s="8"/>
    </row>
    <row r="84" customFormat="false" ht="22.35" hidden="false" customHeight="false" outlineLevel="0" collapsed="false">
      <c r="A84" s="8" t="s">
        <v>284</v>
      </c>
      <c r="B84" s="8" t="s">
        <v>272</v>
      </c>
      <c r="C84" s="8" t="s">
        <v>285</v>
      </c>
      <c r="D84" s="8" t="s">
        <v>39</v>
      </c>
      <c r="E84" s="8" t="s">
        <v>286</v>
      </c>
      <c r="F84" s="8" t="s">
        <v>22</v>
      </c>
      <c r="G84" s="8"/>
      <c r="H84" s="8"/>
      <c r="I84" s="8" t="s">
        <v>5</v>
      </c>
      <c r="J84" s="8"/>
    </row>
    <row r="85" customFormat="false" ht="22.35" hidden="false" customHeight="false" outlineLevel="0" collapsed="false">
      <c r="A85" s="8" t="s">
        <v>287</v>
      </c>
      <c r="B85" s="8" t="s">
        <v>288</v>
      </c>
      <c r="C85" s="8" t="s">
        <v>289</v>
      </c>
      <c r="D85" s="8" t="s">
        <v>39</v>
      </c>
      <c r="E85" s="8" t="s">
        <v>290</v>
      </c>
      <c r="F85" s="8" t="s">
        <v>22</v>
      </c>
      <c r="G85" s="8"/>
      <c r="H85" s="8"/>
      <c r="I85" s="8" t="s">
        <v>5</v>
      </c>
      <c r="J85" s="8"/>
    </row>
    <row r="86" customFormat="false" ht="22.35" hidden="false" customHeight="false" outlineLevel="0" collapsed="false">
      <c r="A86" s="8" t="s">
        <v>291</v>
      </c>
      <c r="B86" s="8" t="s">
        <v>288</v>
      </c>
      <c r="C86" s="8" t="s">
        <v>292</v>
      </c>
      <c r="D86" s="8" t="s">
        <v>39</v>
      </c>
      <c r="E86" s="8" t="s">
        <v>293</v>
      </c>
      <c r="F86" s="8" t="s">
        <v>22</v>
      </c>
      <c r="G86" s="8"/>
      <c r="H86" s="8"/>
      <c r="I86" s="8" t="s">
        <v>5</v>
      </c>
      <c r="J86" s="8"/>
    </row>
    <row r="87" customFormat="false" ht="43.25" hidden="false" customHeight="false" outlineLevel="0" collapsed="false">
      <c r="A87" s="8" t="s">
        <v>294</v>
      </c>
      <c r="B87" s="8" t="s">
        <v>288</v>
      </c>
      <c r="C87" s="8" t="s">
        <v>295</v>
      </c>
      <c r="D87" s="8" t="s">
        <v>39</v>
      </c>
      <c r="E87" s="8"/>
      <c r="F87" s="8" t="s">
        <v>22</v>
      </c>
      <c r="G87" s="8"/>
      <c r="H87" s="8"/>
      <c r="I87" s="8" t="s">
        <v>5</v>
      </c>
      <c r="J87" s="8"/>
    </row>
    <row r="88" customFormat="false" ht="22.35" hidden="false" customHeight="false" outlineLevel="0" collapsed="false">
      <c r="A88" s="8" t="s">
        <v>296</v>
      </c>
      <c r="B88" s="8" t="s">
        <v>288</v>
      </c>
      <c r="C88" s="8" t="s">
        <v>297</v>
      </c>
      <c r="D88" s="8" t="s">
        <v>39</v>
      </c>
      <c r="E88" s="8" t="s">
        <v>298</v>
      </c>
      <c r="F88" s="8" t="s">
        <v>22</v>
      </c>
      <c r="G88" s="8"/>
      <c r="H88" s="8"/>
      <c r="I88" s="8" t="s">
        <v>5</v>
      </c>
      <c r="J88" s="8"/>
    </row>
    <row r="89" customFormat="false" ht="22.35" hidden="false" customHeight="false" outlineLevel="0" collapsed="false">
      <c r="A89" s="8" t="s">
        <v>299</v>
      </c>
      <c r="B89" s="8" t="s">
        <v>288</v>
      </c>
      <c r="C89" s="8" t="s">
        <v>300</v>
      </c>
      <c r="D89" s="8" t="s">
        <v>39</v>
      </c>
      <c r="E89" s="8" t="s">
        <v>301</v>
      </c>
      <c r="F89" s="8" t="s">
        <v>22</v>
      </c>
      <c r="G89" s="8"/>
      <c r="H89" s="8"/>
      <c r="I89" s="8" t="s">
        <v>5</v>
      </c>
      <c r="J89" s="8"/>
    </row>
    <row r="90" customFormat="false" ht="32.8" hidden="false" customHeight="false" outlineLevel="0" collapsed="false">
      <c r="A90" s="8" t="s">
        <v>302</v>
      </c>
      <c r="B90" s="8" t="s">
        <v>288</v>
      </c>
      <c r="C90" s="8" t="s">
        <v>303</v>
      </c>
      <c r="D90" s="8" t="s">
        <v>39</v>
      </c>
      <c r="E90" s="8" t="s">
        <v>304</v>
      </c>
      <c r="F90" s="8" t="s">
        <v>22</v>
      </c>
      <c r="G90" s="8"/>
      <c r="H90" s="8"/>
      <c r="I90" s="8" t="s">
        <v>5</v>
      </c>
      <c r="J90" s="8"/>
    </row>
    <row r="91" customFormat="false" ht="22.35" hidden="false" customHeight="false" outlineLevel="0" collapsed="false">
      <c r="A91" s="8" t="s">
        <v>305</v>
      </c>
      <c r="B91" s="8" t="s">
        <v>288</v>
      </c>
      <c r="C91" s="8" t="s">
        <v>306</v>
      </c>
      <c r="D91" s="8" t="s">
        <v>39</v>
      </c>
      <c r="E91" s="8" t="s">
        <v>307</v>
      </c>
      <c r="F91" s="8" t="s">
        <v>22</v>
      </c>
      <c r="G91" s="8"/>
      <c r="H91" s="8"/>
      <c r="I91" s="8" t="s">
        <v>5</v>
      </c>
      <c r="J91" s="8"/>
    </row>
    <row r="92" customFormat="false" ht="22.35" hidden="false" customHeight="false" outlineLevel="0" collapsed="false">
      <c r="A92" s="8" t="s">
        <v>308</v>
      </c>
      <c r="B92" s="8" t="s">
        <v>309</v>
      </c>
      <c r="C92" s="8" t="s">
        <v>310</v>
      </c>
      <c r="D92" s="8" t="s">
        <v>39</v>
      </c>
      <c r="E92" s="8" t="s">
        <v>311</v>
      </c>
      <c r="F92" s="8" t="s">
        <v>23</v>
      </c>
      <c r="G92" s="8"/>
      <c r="H92" s="8"/>
      <c r="I92" s="8" t="s">
        <v>5</v>
      </c>
      <c r="J92" s="8"/>
    </row>
    <row r="93" customFormat="false" ht="22.35" hidden="false" customHeight="false" outlineLevel="0" collapsed="false">
      <c r="A93" s="8" t="s">
        <v>312</v>
      </c>
      <c r="B93" s="8" t="s">
        <v>309</v>
      </c>
      <c r="C93" s="8" t="s">
        <v>313</v>
      </c>
      <c r="D93" s="8" t="s">
        <v>39</v>
      </c>
      <c r="E93" s="8" t="s">
        <v>314</v>
      </c>
      <c r="F93" s="8" t="s">
        <v>23</v>
      </c>
      <c r="G93" s="8"/>
      <c r="H93" s="8"/>
      <c r="I93" s="8" t="s">
        <v>5</v>
      </c>
      <c r="J93" s="8"/>
    </row>
    <row r="94" customFormat="false" ht="22.35" hidden="false" customHeight="false" outlineLevel="0" collapsed="false">
      <c r="A94" s="8" t="s">
        <v>315</v>
      </c>
      <c r="B94" s="8" t="s">
        <v>309</v>
      </c>
      <c r="C94" s="8" t="s">
        <v>316</v>
      </c>
      <c r="D94" s="8" t="s">
        <v>39</v>
      </c>
      <c r="E94" s="8" t="s">
        <v>317</v>
      </c>
      <c r="F94" s="8" t="s">
        <v>23</v>
      </c>
      <c r="G94" s="8"/>
      <c r="H94" s="8"/>
      <c r="I94" s="8" t="s">
        <v>5</v>
      </c>
      <c r="J94" s="8"/>
    </row>
    <row r="95" customFormat="false" ht="22.35" hidden="false" customHeight="false" outlineLevel="0" collapsed="false">
      <c r="A95" s="8" t="s">
        <v>318</v>
      </c>
      <c r="B95" s="8" t="s">
        <v>319</v>
      </c>
      <c r="C95" s="8" t="s">
        <v>320</v>
      </c>
      <c r="D95" s="8" t="s">
        <v>39</v>
      </c>
      <c r="E95" s="8" t="s">
        <v>321</v>
      </c>
      <c r="F95" s="8" t="s">
        <v>23</v>
      </c>
      <c r="G95" s="8"/>
      <c r="H95" s="8"/>
      <c r="I95" s="8" t="s">
        <v>5</v>
      </c>
      <c r="J95" s="8"/>
    </row>
    <row r="96" customFormat="false" ht="22.35" hidden="false" customHeight="false" outlineLevel="0" collapsed="false">
      <c r="A96" s="8" t="s">
        <v>322</v>
      </c>
      <c r="B96" s="8" t="s">
        <v>319</v>
      </c>
      <c r="C96" s="8" t="s">
        <v>323</v>
      </c>
      <c r="D96" s="8" t="s">
        <v>39</v>
      </c>
      <c r="E96" s="8" t="s">
        <v>324</v>
      </c>
      <c r="F96" s="8" t="s">
        <v>23</v>
      </c>
      <c r="G96" s="8"/>
      <c r="H96" s="8"/>
      <c r="I96" s="8" t="s">
        <v>5</v>
      </c>
      <c r="J96" s="8"/>
    </row>
    <row r="97" customFormat="false" ht="22.35" hidden="false" customHeight="false" outlineLevel="0" collapsed="false">
      <c r="A97" s="8" t="s">
        <v>325</v>
      </c>
      <c r="B97" s="8" t="s">
        <v>319</v>
      </c>
      <c r="C97" s="8" t="s">
        <v>326</v>
      </c>
      <c r="D97" s="8" t="s">
        <v>39</v>
      </c>
      <c r="E97" s="8" t="s">
        <v>327</v>
      </c>
      <c r="F97" s="8" t="s">
        <v>23</v>
      </c>
      <c r="G97" s="8"/>
      <c r="H97" s="8"/>
      <c r="I97" s="8" t="s">
        <v>5</v>
      </c>
      <c r="J97" s="8"/>
    </row>
    <row r="98" customFormat="false" ht="22.35" hidden="false" customHeight="false" outlineLevel="0" collapsed="false">
      <c r="A98" s="8" t="s">
        <v>328</v>
      </c>
      <c r="B98" s="8" t="s">
        <v>319</v>
      </c>
      <c r="C98" s="8" t="s">
        <v>329</v>
      </c>
      <c r="D98" s="8" t="s">
        <v>39</v>
      </c>
      <c r="E98" s="8" t="s">
        <v>330</v>
      </c>
      <c r="F98" s="8" t="s">
        <v>23</v>
      </c>
      <c r="G98" s="8"/>
      <c r="H98" s="8"/>
      <c r="I98" s="8" t="s">
        <v>5</v>
      </c>
      <c r="J98" s="8"/>
    </row>
    <row r="99" customFormat="false" ht="22.35" hidden="false" customHeight="false" outlineLevel="0" collapsed="false">
      <c r="A99" s="8" t="s">
        <v>331</v>
      </c>
      <c r="B99" s="8" t="s">
        <v>332</v>
      </c>
      <c r="C99" s="8" t="s">
        <v>333</v>
      </c>
      <c r="D99" s="8" t="s">
        <v>39</v>
      </c>
      <c r="E99" s="8" t="s">
        <v>334</v>
      </c>
      <c r="F99" s="8" t="s">
        <v>23</v>
      </c>
      <c r="G99" s="8"/>
      <c r="H99" s="8"/>
      <c r="I99" s="8" t="s">
        <v>5</v>
      </c>
      <c r="J99" s="8"/>
    </row>
    <row r="100" customFormat="false" ht="22.35" hidden="false" customHeight="false" outlineLevel="0" collapsed="false">
      <c r="A100" s="8" t="s">
        <v>335</v>
      </c>
      <c r="B100" s="8" t="s">
        <v>332</v>
      </c>
      <c r="C100" s="8" t="s">
        <v>336</v>
      </c>
      <c r="D100" s="8" t="s">
        <v>39</v>
      </c>
      <c r="E100" s="8" t="s">
        <v>334</v>
      </c>
      <c r="F100" s="8" t="s">
        <v>23</v>
      </c>
      <c r="G100" s="8"/>
      <c r="H100" s="8"/>
      <c r="I100" s="8" t="s">
        <v>5</v>
      </c>
      <c r="J100" s="8"/>
    </row>
    <row r="101" customFormat="false" ht="22.35" hidden="false" customHeight="false" outlineLevel="0" collapsed="false">
      <c r="A101" s="8" t="s">
        <v>337</v>
      </c>
      <c r="B101" s="8" t="s">
        <v>332</v>
      </c>
      <c r="C101" s="8" t="s">
        <v>338</v>
      </c>
      <c r="D101" s="8" t="s">
        <v>39</v>
      </c>
      <c r="E101" s="8"/>
      <c r="F101" s="8" t="s">
        <v>23</v>
      </c>
      <c r="G101" s="8"/>
      <c r="H101" s="8"/>
      <c r="I101" s="8" t="s">
        <v>5</v>
      </c>
      <c r="J101" s="8"/>
    </row>
    <row r="102" customFormat="false" ht="32.8" hidden="false" customHeight="false" outlineLevel="0" collapsed="false">
      <c r="A102" s="8" t="s">
        <v>339</v>
      </c>
      <c r="B102" s="8" t="s">
        <v>332</v>
      </c>
      <c r="C102" s="8" t="s">
        <v>340</v>
      </c>
      <c r="D102" s="8" t="s">
        <v>39</v>
      </c>
      <c r="E102" s="8" t="s">
        <v>341</v>
      </c>
      <c r="F102" s="8" t="s">
        <v>23</v>
      </c>
      <c r="G102" s="8"/>
      <c r="H102" s="8"/>
      <c r="I102" s="8" t="s">
        <v>5</v>
      </c>
      <c r="J102" s="8"/>
    </row>
    <row r="103" customFormat="false" ht="32.8" hidden="false" customHeight="false" outlineLevel="0" collapsed="false">
      <c r="A103" s="8" t="s">
        <v>342</v>
      </c>
      <c r="B103" s="8" t="s">
        <v>332</v>
      </c>
      <c r="C103" s="8" t="s">
        <v>343</v>
      </c>
      <c r="D103" s="8" t="s">
        <v>39</v>
      </c>
      <c r="E103" s="8" t="s">
        <v>344</v>
      </c>
      <c r="F103" s="8" t="s">
        <v>23</v>
      </c>
      <c r="G103" s="8"/>
      <c r="H103" s="8"/>
      <c r="I103" s="8" t="s">
        <v>5</v>
      </c>
      <c r="J103" s="8"/>
    </row>
    <row r="104" customFormat="false" ht="32.8" hidden="false" customHeight="false" outlineLevel="0" collapsed="false">
      <c r="A104" s="8" t="s">
        <v>345</v>
      </c>
      <c r="B104" s="8" t="s">
        <v>346</v>
      </c>
      <c r="C104" s="8" t="s">
        <v>347</v>
      </c>
      <c r="D104" s="8" t="s">
        <v>39</v>
      </c>
      <c r="E104" s="8" t="s">
        <v>348</v>
      </c>
      <c r="F104" s="8" t="s">
        <v>23</v>
      </c>
      <c r="G104" s="8"/>
      <c r="H104" s="8"/>
      <c r="I104" s="8" t="s">
        <v>5</v>
      </c>
      <c r="J104" s="8"/>
    </row>
    <row r="105" customFormat="false" ht="32.8" hidden="false" customHeight="false" outlineLevel="0" collapsed="false">
      <c r="A105" s="8" t="s">
        <v>349</v>
      </c>
      <c r="B105" s="8" t="s">
        <v>346</v>
      </c>
      <c r="C105" s="8" t="s">
        <v>350</v>
      </c>
      <c r="D105" s="8" t="s">
        <v>39</v>
      </c>
      <c r="E105" s="8" t="s">
        <v>351</v>
      </c>
      <c r="F105" s="8" t="s">
        <v>23</v>
      </c>
      <c r="G105" s="8"/>
      <c r="H105" s="8"/>
      <c r="I105" s="8" t="s">
        <v>5</v>
      </c>
      <c r="J105" s="8"/>
    </row>
    <row r="106" customFormat="false" ht="22.35" hidden="false" customHeight="false" outlineLevel="0" collapsed="false">
      <c r="A106" s="8" t="s">
        <v>352</v>
      </c>
      <c r="B106" s="8" t="s">
        <v>346</v>
      </c>
      <c r="C106" s="8" t="s">
        <v>353</v>
      </c>
      <c r="D106" s="8" t="s">
        <v>39</v>
      </c>
      <c r="E106" s="8" t="s">
        <v>354</v>
      </c>
      <c r="F106" s="8" t="s">
        <v>23</v>
      </c>
      <c r="G106" s="8"/>
      <c r="H106" s="8"/>
      <c r="I106" s="8" t="s">
        <v>5</v>
      </c>
      <c r="J106" s="8"/>
    </row>
    <row r="107" customFormat="false" ht="22.35" hidden="false" customHeight="false" outlineLevel="0" collapsed="false">
      <c r="A107" s="8" t="s">
        <v>355</v>
      </c>
      <c r="B107" s="8" t="s">
        <v>346</v>
      </c>
      <c r="C107" s="8" t="s">
        <v>356</v>
      </c>
      <c r="D107" s="8" t="s">
        <v>39</v>
      </c>
      <c r="E107" s="8" t="s">
        <v>357</v>
      </c>
      <c r="F107" s="8" t="s">
        <v>23</v>
      </c>
      <c r="G107" s="8"/>
      <c r="H107" s="8"/>
      <c r="I107" s="8" t="s">
        <v>5</v>
      </c>
      <c r="J107" s="8"/>
    </row>
    <row r="108" customFormat="false" ht="22.35" hidden="false" customHeight="false" outlineLevel="0" collapsed="false">
      <c r="A108" s="8" t="s">
        <v>358</v>
      </c>
      <c r="B108" s="8" t="s">
        <v>359</v>
      </c>
      <c r="C108" s="8" t="s">
        <v>360</v>
      </c>
      <c r="D108" s="8" t="s">
        <v>39</v>
      </c>
      <c r="E108" s="8" t="s">
        <v>361</v>
      </c>
      <c r="F108" s="8" t="s">
        <v>23</v>
      </c>
      <c r="G108" s="8"/>
      <c r="H108" s="8"/>
      <c r="I108" s="8" t="s">
        <v>5</v>
      </c>
      <c r="J108" s="8"/>
    </row>
    <row r="109" customFormat="false" ht="22.35" hidden="false" customHeight="false" outlineLevel="0" collapsed="false">
      <c r="A109" s="8" t="s">
        <v>362</v>
      </c>
      <c r="B109" s="8" t="s">
        <v>359</v>
      </c>
      <c r="C109" s="8" t="s">
        <v>363</v>
      </c>
      <c r="D109" s="8" t="s">
        <v>39</v>
      </c>
      <c r="E109" s="8" t="s">
        <v>364</v>
      </c>
      <c r="F109" s="8" t="s">
        <v>23</v>
      </c>
      <c r="G109" s="8"/>
      <c r="H109" s="8"/>
      <c r="I109" s="8" t="s">
        <v>5</v>
      </c>
      <c r="J109" s="8"/>
    </row>
    <row r="110" customFormat="false" ht="22.35" hidden="false" customHeight="false" outlineLevel="0" collapsed="false">
      <c r="A110" s="8" t="s">
        <v>365</v>
      </c>
      <c r="B110" s="8" t="s">
        <v>359</v>
      </c>
      <c r="C110" s="8" t="s">
        <v>366</v>
      </c>
      <c r="D110" s="8" t="s">
        <v>39</v>
      </c>
      <c r="E110" s="8"/>
      <c r="F110" s="8" t="s">
        <v>23</v>
      </c>
      <c r="G110" s="8"/>
      <c r="H110" s="8"/>
      <c r="I110" s="8" t="s">
        <v>5</v>
      </c>
      <c r="J110" s="8"/>
    </row>
    <row r="111" customFormat="false" ht="32.8" hidden="false" customHeight="false" outlineLevel="0" collapsed="false">
      <c r="A111" s="8" t="s">
        <v>367</v>
      </c>
      <c r="B111" s="8" t="s">
        <v>359</v>
      </c>
      <c r="C111" s="8" t="s">
        <v>368</v>
      </c>
      <c r="D111" s="8" t="s">
        <v>39</v>
      </c>
      <c r="E111" s="8" t="s">
        <v>369</v>
      </c>
      <c r="F111" s="8" t="s">
        <v>23</v>
      </c>
      <c r="G111" s="8"/>
      <c r="H111" s="8"/>
      <c r="I111" s="8" t="s">
        <v>5</v>
      </c>
      <c r="J111" s="8"/>
    </row>
    <row r="112" customFormat="false" ht="22.35" hidden="false" customHeight="false" outlineLevel="0" collapsed="false">
      <c r="A112" s="8" t="s">
        <v>370</v>
      </c>
      <c r="B112" s="8" t="s">
        <v>359</v>
      </c>
      <c r="C112" s="8" t="s">
        <v>371</v>
      </c>
      <c r="D112" s="8" t="s">
        <v>39</v>
      </c>
      <c r="E112" s="8" t="s">
        <v>372</v>
      </c>
      <c r="F112" s="8" t="s">
        <v>23</v>
      </c>
      <c r="G112" s="8"/>
      <c r="H112" s="8"/>
      <c r="I112" s="8" t="s">
        <v>5</v>
      </c>
      <c r="J112" s="8"/>
    </row>
    <row r="113" customFormat="false" ht="22.35" hidden="false" customHeight="false" outlineLevel="0" collapsed="false">
      <c r="A113" s="8" t="s">
        <v>373</v>
      </c>
      <c r="B113" s="8" t="s">
        <v>374</v>
      </c>
      <c r="C113" s="8" t="s">
        <v>375</v>
      </c>
      <c r="D113" s="8" t="s">
        <v>39</v>
      </c>
      <c r="E113" s="8" t="s">
        <v>376</v>
      </c>
      <c r="F113" s="8" t="s">
        <v>23</v>
      </c>
      <c r="G113" s="8"/>
      <c r="H113" s="8"/>
      <c r="I113" s="8" t="s">
        <v>5</v>
      </c>
      <c r="J113" s="8"/>
    </row>
    <row r="114" customFormat="false" ht="22.35" hidden="false" customHeight="false" outlineLevel="0" collapsed="false">
      <c r="A114" s="8" t="s">
        <v>377</v>
      </c>
      <c r="B114" s="8" t="s">
        <v>374</v>
      </c>
      <c r="C114" s="8" t="s">
        <v>378</v>
      </c>
      <c r="D114" s="8" t="s">
        <v>39</v>
      </c>
      <c r="E114" s="8" t="s">
        <v>379</v>
      </c>
      <c r="F114" s="8" t="s">
        <v>23</v>
      </c>
      <c r="G114" s="8"/>
      <c r="H114" s="8"/>
      <c r="I114" s="8" t="s">
        <v>5</v>
      </c>
      <c r="J114" s="8"/>
    </row>
    <row r="115" customFormat="false" ht="22.35" hidden="false" customHeight="false" outlineLevel="0" collapsed="false">
      <c r="A115" s="8" t="s">
        <v>380</v>
      </c>
      <c r="B115" s="8" t="s">
        <v>374</v>
      </c>
      <c r="C115" s="8" t="s">
        <v>381</v>
      </c>
      <c r="D115" s="8" t="s">
        <v>39</v>
      </c>
      <c r="E115" s="8" t="s">
        <v>382</v>
      </c>
      <c r="F115" s="8" t="s">
        <v>23</v>
      </c>
      <c r="G115" s="8"/>
      <c r="H115" s="8"/>
      <c r="I115" s="8" t="s">
        <v>5</v>
      </c>
      <c r="J115" s="8"/>
    </row>
    <row r="116" customFormat="false" ht="32.8" hidden="false" customHeight="false" outlineLevel="0" collapsed="false">
      <c r="A116" s="8" t="s">
        <v>383</v>
      </c>
      <c r="B116" s="8" t="s">
        <v>374</v>
      </c>
      <c r="C116" s="8" t="s">
        <v>384</v>
      </c>
      <c r="D116" s="8" t="s">
        <v>39</v>
      </c>
      <c r="E116" s="8" t="s">
        <v>385</v>
      </c>
      <c r="F116" s="8" t="s">
        <v>23</v>
      </c>
      <c r="G116" s="8"/>
      <c r="H116" s="8"/>
      <c r="I116" s="8" t="s">
        <v>5</v>
      </c>
      <c r="J116" s="8"/>
    </row>
    <row r="117" customFormat="false" ht="22.35" hidden="false" customHeight="false" outlineLevel="0" collapsed="false">
      <c r="A117" s="8" t="s">
        <v>386</v>
      </c>
      <c r="B117" s="8" t="s">
        <v>387</v>
      </c>
      <c r="C117" s="8" t="s">
        <v>388</v>
      </c>
      <c r="D117" s="8" t="s">
        <v>39</v>
      </c>
      <c r="E117" s="8" t="s">
        <v>389</v>
      </c>
      <c r="F117" s="8" t="s">
        <v>23</v>
      </c>
      <c r="G117" s="8"/>
      <c r="H117" s="8"/>
      <c r="I117" s="8" t="s">
        <v>5</v>
      </c>
      <c r="J117" s="8"/>
    </row>
    <row r="118" customFormat="false" ht="32.8" hidden="false" customHeight="false" outlineLevel="0" collapsed="false">
      <c r="A118" s="8" t="s">
        <v>390</v>
      </c>
      <c r="B118" s="8" t="s">
        <v>387</v>
      </c>
      <c r="C118" s="8" t="s">
        <v>391</v>
      </c>
      <c r="D118" s="8" t="s">
        <v>39</v>
      </c>
      <c r="E118" s="8" t="s">
        <v>392</v>
      </c>
      <c r="F118" s="8" t="s">
        <v>23</v>
      </c>
      <c r="G118" s="8"/>
      <c r="H118" s="8"/>
      <c r="I118" s="8" t="s">
        <v>5</v>
      </c>
      <c r="J118" s="8"/>
    </row>
    <row r="119" customFormat="false" ht="22.35" hidden="false" customHeight="false" outlineLevel="0" collapsed="false">
      <c r="A119" s="8" t="s">
        <v>393</v>
      </c>
      <c r="B119" s="8" t="s">
        <v>387</v>
      </c>
      <c r="C119" s="8" t="s">
        <v>394</v>
      </c>
      <c r="D119" s="8" t="s">
        <v>39</v>
      </c>
      <c r="E119" s="8" t="s">
        <v>395</v>
      </c>
      <c r="F119" s="8" t="s">
        <v>23</v>
      </c>
      <c r="G119" s="8"/>
      <c r="H119" s="8"/>
      <c r="I119" s="8" t="s">
        <v>5</v>
      </c>
      <c r="J119" s="8"/>
    </row>
    <row r="120" customFormat="false" ht="32.8" hidden="false" customHeight="false" outlineLevel="0" collapsed="false">
      <c r="A120" s="8" t="s">
        <v>396</v>
      </c>
      <c r="B120" s="8" t="s">
        <v>387</v>
      </c>
      <c r="C120" s="8" t="s">
        <v>397</v>
      </c>
      <c r="D120" s="8" t="s">
        <v>39</v>
      </c>
      <c r="E120" s="8"/>
      <c r="F120" s="8" t="s">
        <v>23</v>
      </c>
      <c r="G120" s="8"/>
      <c r="H120" s="8"/>
      <c r="I120" s="8" t="s">
        <v>5</v>
      </c>
      <c r="J120" s="8"/>
    </row>
    <row r="121" customFormat="false" ht="22.35" hidden="false" customHeight="false" outlineLevel="0" collapsed="false">
      <c r="A121" s="8" t="s">
        <v>398</v>
      </c>
      <c r="B121" s="8" t="s">
        <v>387</v>
      </c>
      <c r="C121" s="8" t="s">
        <v>399</v>
      </c>
      <c r="D121" s="8" t="s">
        <v>39</v>
      </c>
      <c r="E121" s="8" t="s">
        <v>400</v>
      </c>
      <c r="F121" s="8" t="s">
        <v>23</v>
      </c>
      <c r="G121" s="8"/>
      <c r="H121" s="8"/>
      <c r="I121" s="8" t="s">
        <v>5</v>
      </c>
      <c r="J121" s="8"/>
    </row>
    <row r="122" customFormat="false" ht="22.35" hidden="false" customHeight="false" outlineLevel="0" collapsed="false">
      <c r="A122" s="8" t="s">
        <v>401</v>
      </c>
      <c r="B122" s="8" t="s">
        <v>387</v>
      </c>
      <c r="C122" s="8" t="s">
        <v>402</v>
      </c>
      <c r="D122" s="8" t="s">
        <v>39</v>
      </c>
      <c r="E122" s="8" t="s">
        <v>403</v>
      </c>
      <c r="F122" s="8" t="s">
        <v>23</v>
      </c>
      <c r="G122" s="8"/>
      <c r="H122" s="8"/>
      <c r="I122" s="8" t="s">
        <v>5</v>
      </c>
      <c r="J122" s="8"/>
    </row>
    <row r="123" customFormat="false" ht="22.35" hidden="false" customHeight="false" outlineLevel="0" collapsed="false">
      <c r="A123" s="8" t="s">
        <v>404</v>
      </c>
      <c r="B123" s="8" t="s">
        <v>387</v>
      </c>
      <c r="C123" s="8" t="s">
        <v>405</v>
      </c>
      <c r="D123" s="8" t="s">
        <v>39</v>
      </c>
      <c r="E123" s="8" t="s">
        <v>406</v>
      </c>
      <c r="F123" s="8" t="s">
        <v>23</v>
      </c>
      <c r="G123" s="8"/>
      <c r="H123" s="8"/>
      <c r="I123" s="8" t="s">
        <v>5</v>
      </c>
      <c r="J123" s="8"/>
    </row>
    <row r="124" customFormat="false" ht="22.35" hidden="false" customHeight="false" outlineLevel="0" collapsed="false">
      <c r="A124" s="8" t="s">
        <v>407</v>
      </c>
      <c r="B124" s="8" t="s">
        <v>408</v>
      </c>
      <c r="C124" s="8" t="s">
        <v>409</v>
      </c>
      <c r="D124" s="8" t="s">
        <v>39</v>
      </c>
      <c r="E124" s="8" t="s">
        <v>410</v>
      </c>
      <c r="F124" s="8" t="s">
        <v>23</v>
      </c>
      <c r="G124" s="8"/>
      <c r="H124" s="8"/>
      <c r="I124" s="8" t="s">
        <v>5</v>
      </c>
      <c r="J124" s="8"/>
    </row>
    <row r="125" customFormat="false" ht="22.35" hidden="false" customHeight="false" outlineLevel="0" collapsed="false">
      <c r="A125" s="8" t="s">
        <v>411</v>
      </c>
      <c r="B125" s="8" t="s">
        <v>408</v>
      </c>
      <c r="C125" s="8" t="s">
        <v>412</v>
      </c>
      <c r="D125" s="8" t="s">
        <v>39</v>
      </c>
      <c r="E125" s="8" t="s">
        <v>413</v>
      </c>
      <c r="F125" s="8" t="s">
        <v>23</v>
      </c>
      <c r="G125" s="8"/>
      <c r="H125" s="8"/>
      <c r="I125" s="8" t="s">
        <v>5</v>
      </c>
      <c r="J125" s="8"/>
    </row>
    <row r="126" customFormat="false" ht="22.35" hidden="false" customHeight="false" outlineLevel="0" collapsed="false">
      <c r="A126" s="8" t="s">
        <v>414</v>
      </c>
      <c r="B126" s="8" t="s">
        <v>408</v>
      </c>
      <c r="C126" s="8" t="s">
        <v>415</v>
      </c>
      <c r="D126" s="8" t="s">
        <v>39</v>
      </c>
      <c r="E126" s="8" t="s">
        <v>416</v>
      </c>
      <c r="F126" s="8" t="s">
        <v>23</v>
      </c>
      <c r="G126" s="8"/>
      <c r="H126" s="8"/>
      <c r="I126" s="8" t="s">
        <v>5</v>
      </c>
      <c r="J126" s="8"/>
    </row>
    <row r="127" customFormat="false" ht="22.35" hidden="false" customHeight="false" outlineLevel="0" collapsed="false">
      <c r="A127" s="8" t="s">
        <v>417</v>
      </c>
      <c r="B127" s="8" t="s">
        <v>408</v>
      </c>
      <c r="C127" s="8" t="s">
        <v>418</v>
      </c>
      <c r="D127" s="8" t="s">
        <v>39</v>
      </c>
      <c r="E127" s="8" t="s">
        <v>419</v>
      </c>
      <c r="F127" s="8" t="s">
        <v>23</v>
      </c>
      <c r="G127" s="8"/>
      <c r="H127" s="8"/>
      <c r="I127" s="8" t="s">
        <v>5</v>
      </c>
      <c r="J127" s="8"/>
    </row>
    <row r="128" customFormat="false" ht="32.8" hidden="false" customHeight="false" outlineLevel="0" collapsed="false">
      <c r="A128" s="8" t="s">
        <v>420</v>
      </c>
      <c r="B128" s="8" t="s">
        <v>421</v>
      </c>
      <c r="C128" s="8" t="s">
        <v>422</v>
      </c>
      <c r="D128" s="8" t="s">
        <v>39</v>
      </c>
      <c r="E128" s="8"/>
      <c r="F128" s="8" t="s">
        <v>23</v>
      </c>
      <c r="G128" s="8"/>
      <c r="H128" s="8"/>
      <c r="I128" s="8" t="s">
        <v>5</v>
      </c>
      <c r="J128" s="8"/>
    </row>
    <row r="129" customFormat="false" ht="22.35" hidden="false" customHeight="false" outlineLevel="0" collapsed="false">
      <c r="A129" s="8" t="s">
        <v>423</v>
      </c>
      <c r="B129" s="8" t="s">
        <v>421</v>
      </c>
      <c r="C129" s="8" t="s">
        <v>424</v>
      </c>
      <c r="D129" s="8" t="s">
        <v>39</v>
      </c>
      <c r="E129" s="8" t="s">
        <v>425</v>
      </c>
      <c r="F129" s="8" t="s">
        <v>23</v>
      </c>
      <c r="G129" s="8"/>
      <c r="H129" s="8"/>
      <c r="I129" s="8" t="s">
        <v>5</v>
      </c>
      <c r="J129" s="8"/>
    </row>
    <row r="130" customFormat="false" ht="32.8" hidden="false" customHeight="false" outlineLevel="0" collapsed="false">
      <c r="A130" s="8" t="s">
        <v>426</v>
      </c>
      <c r="B130" s="8" t="s">
        <v>421</v>
      </c>
      <c r="C130" s="8" t="s">
        <v>427</v>
      </c>
      <c r="D130" s="8" t="s">
        <v>39</v>
      </c>
      <c r="E130" s="8" t="s">
        <v>428</v>
      </c>
      <c r="F130" s="8" t="s">
        <v>23</v>
      </c>
      <c r="G130" s="8"/>
      <c r="H130" s="8"/>
      <c r="I130" s="8" t="s">
        <v>5</v>
      </c>
      <c r="J130" s="8"/>
    </row>
    <row r="131" customFormat="false" ht="32.8" hidden="false" customHeight="false" outlineLevel="0" collapsed="false">
      <c r="A131" s="8" t="s">
        <v>429</v>
      </c>
      <c r="B131" s="8" t="s">
        <v>421</v>
      </c>
      <c r="C131" s="8" t="s">
        <v>430</v>
      </c>
      <c r="D131" s="8" t="s">
        <v>39</v>
      </c>
      <c r="E131" s="8" t="s">
        <v>431</v>
      </c>
      <c r="F131" s="8" t="s">
        <v>23</v>
      </c>
      <c r="G131" s="8"/>
      <c r="H131" s="8"/>
      <c r="I131" s="8" t="s">
        <v>5</v>
      </c>
      <c r="J131" s="8"/>
    </row>
    <row r="132" customFormat="false" ht="22.35" hidden="false" customHeight="false" outlineLevel="0" collapsed="false">
      <c r="A132" s="8" t="s">
        <v>432</v>
      </c>
      <c r="B132" s="8" t="s">
        <v>421</v>
      </c>
      <c r="C132" s="8" t="s">
        <v>433</v>
      </c>
      <c r="D132" s="8" t="s">
        <v>39</v>
      </c>
      <c r="E132" s="8" t="s">
        <v>434</v>
      </c>
      <c r="F132" s="8" t="s">
        <v>23</v>
      </c>
      <c r="G132" s="8"/>
      <c r="H132" s="8"/>
      <c r="I132" s="8" t="s">
        <v>5</v>
      </c>
      <c r="J132" s="8"/>
    </row>
    <row r="133" customFormat="false" ht="22.35" hidden="false" customHeight="false" outlineLevel="0" collapsed="false">
      <c r="A133" s="8" t="s">
        <v>435</v>
      </c>
      <c r="B133" s="8" t="s">
        <v>421</v>
      </c>
      <c r="C133" s="8" t="s">
        <v>436</v>
      </c>
      <c r="D133" s="8" t="s">
        <v>39</v>
      </c>
      <c r="E133" s="8" t="s">
        <v>437</v>
      </c>
      <c r="F133" s="8" t="s">
        <v>23</v>
      </c>
      <c r="G133" s="8"/>
      <c r="H133" s="8"/>
      <c r="I133" s="8" t="s">
        <v>5</v>
      </c>
      <c r="J133" s="8"/>
    </row>
    <row r="134" customFormat="false" ht="22.35" hidden="false" customHeight="false" outlineLevel="0" collapsed="false">
      <c r="A134" s="8" t="s">
        <v>438</v>
      </c>
      <c r="B134" s="8" t="s">
        <v>421</v>
      </c>
      <c r="C134" s="8" t="s">
        <v>439</v>
      </c>
      <c r="D134" s="8" t="s">
        <v>39</v>
      </c>
      <c r="E134" s="8"/>
      <c r="F134" s="8" t="s">
        <v>23</v>
      </c>
      <c r="G134" s="8"/>
      <c r="H134" s="8"/>
      <c r="I134" s="8" t="s">
        <v>5</v>
      </c>
      <c r="J134" s="8"/>
    </row>
    <row r="135" customFormat="false" ht="22.35" hidden="false" customHeight="false" outlineLevel="0" collapsed="false">
      <c r="A135" s="8" t="s">
        <v>440</v>
      </c>
      <c r="B135" s="8" t="s">
        <v>421</v>
      </c>
      <c r="C135" s="8" t="s">
        <v>441</v>
      </c>
      <c r="D135" s="8" t="s">
        <v>39</v>
      </c>
      <c r="E135" s="8"/>
      <c r="F135" s="8" t="s">
        <v>23</v>
      </c>
      <c r="G135" s="8"/>
      <c r="H135" s="8"/>
      <c r="I135" s="8" t="s">
        <v>5</v>
      </c>
      <c r="J135" s="8"/>
    </row>
    <row r="136" customFormat="false" ht="22.35" hidden="false" customHeight="false" outlineLevel="0" collapsed="false">
      <c r="A136" s="8" t="s">
        <v>442</v>
      </c>
      <c r="B136" s="8" t="s">
        <v>421</v>
      </c>
      <c r="C136" s="8" t="s">
        <v>443</v>
      </c>
      <c r="D136" s="8" t="s">
        <v>39</v>
      </c>
      <c r="E136" s="8" t="s">
        <v>444</v>
      </c>
      <c r="F136" s="8" t="s">
        <v>23</v>
      </c>
      <c r="G136" s="8"/>
      <c r="H136" s="8"/>
      <c r="I136" s="8" t="s">
        <v>5</v>
      </c>
      <c r="J136" s="8"/>
    </row>
    <row r="137" customFormat="false" ht="22.35" hidden="false" customHeight="false" outlineLevel="0" collapsed="false">
      <c r="A137" s="8" t="s">
        <v>445</v>
      </c>
      <c r="B137" s="8" t="s">
        <v>446</v>
      </c>
      <c r="C137" s="8" t="s">
        <v>447</v>
      </c>
      <c r="D137" s="8" t="s">
        <v>39</v>
      </c>
      <c r="E137" s="8" t="s">
        <v>448</v>
      </c>
      <c r="F137" s="8" t="s">
        <v>23</v>
      </c>
      <c r="G137" s="8"/>
      <c r="H137" s="8"/>
      <c r="I137" s="8" t="s">
        <v>5</v>
      </c>
      <c r="J137" s="8"/>
    </row>
    <row r="138" customFormat="false" ht="32.8" hidden="false" customHeight="false" outlineLevel="0" collapsed="false">
      <c r="A138" s="8" t="s">
        <v>449</v>
      </c>
      <c r="B138" s="8" t="s">
        <v>446</v>
      </c>
      <c r="C138" s="8" t="s">
        <v>450</v>
      </c>
      <c r="D138" s="8" t="s">
        <v>39</v>
      </c>
      <c r="E138" s="8" t="s">
        <v>451</v>
      </c>
      <c r="F138" s="8" t="s">
        <v>23</v>
      </c>
      <c r="G138" s="8"/>
      <c r="H138" s="8"/>
      <c r="I138" s="8" t="s">
        <v>5</v>
      </c>
      <c r="J138" s="8"/>
    </row>
    <row r="139" customFormat="false" ht="22.35" hidden="false" customHeight="false" outlineLevel="0" collapsed="false">
      <c r="A139" s="8" t="s">
        <v>452</v>
      </c>
      <c r="B139" s="8" t="s">
        <v>446</v>
      </c>
      <c r="C139" s="8" t="s">
        <v>453</v>
      </c>
      <c r="D139" s="8" t="s">
        <v>39</v>
      </c>
      <c r="E139" s="8"/>
      <c r="F139" s="8" t="s">
        <v>23</v>
      </c>
      <c r="G139" s="8"/>
      <c r="H139" s="8"/>
      <c r="I139" s="8" t="s">
        <v>5</v>
      </c>
      <c r="J139" s="8"/>
    </row>
    <row r="140" customFormat="false" ht="22.35" hidden="false" customHeight="false" outlineLevel="0" collapsed="false">
      <c r="A140" s="8" t="s">
        <v>454</v>
      </c>
      <c r="B140" s="8" t="s">
        <v>446</v>
      </c>
      <c r="C140" s="8" t="s">
        <v>455</v>
      </c>
      <c r="D140" s="8" t="s">
        <v>39</v>
      </c>
      <c r="E140" s="8" t="s">
        <v>456</v>
      </c>
      <c r="F140" s="8" t="s">
        <v>23</v>
      </c>
      <c r="G140" s="8"/>
      <c r="H140" s="8"/>
      <c r="I140" s="8" t="s">
        <v>5</v>
      </c>
      <c r="J140" s="8"/>
    </row>
    <row r="141" customFormat="false" ht="22.35" hidden="false" customHeight="false" outlineLevel="0" collapsed="false">
      <c r="A141" s="8" t="s">
        <v>457</v>
      </c>
      <c r="B141" s="8" t="s">
        <v>458</v>
      </c>
      <c r="C141" s="8" t="s">
        <v>459</v>
      </c>
      <c r="D141" s="8" t="s">
        <v>39</v>
      </c>
      <c r="E141" s="8"/>
      <c r="F141" s="8" t="s">
        <v>23</v>
      </c>
      <c r="G141" s="8"/>
      <c r="H141" s="8"/>
      <c r="I141" s="8" t="s">
        <v>5</v>
      </c>
      <c r="J141" s="8"/>
    </row>
    <row r="142" customFormat="false" ht="32.8" hidden="false" customHeight="false" outlineLevel="0" collapsed="false">
      <c r="A142" s="8" t="s">
        <v>460</v>
      </c>
      <c r="B142" s="8" t="s">
        <v>458</v>
      </c>
      <c r="C142" s="8" t="s">
        <v>461</v>
      </c>
      <c r="D142" s="8" t="s">
        <v>39</v>
      </c>
      <c r="E142" s="8" t="s">
        <v>462</v>
      </c>
      <c r="F142" s="8" t="s">
        <v>23</v>
      </c>
      <c r="G142" s="8"/>
      <c r="H142" s="8"/>
      <c r="I142" s="8" t="s">
        <v>5</v>
      </c>
      <c r="J142" s="8"/>
    </row>
    <row r="143" customFormat="false" ht="22.35" hidden="false" customHeight="false" outlineLevel="0" collapsed="false">
      <c r="A143" s="8" t="s">
        <v>463</v>
      </c>
      <c r="B143" s="8" t="s">
        <v>458</v>
      </c>
      <c r="C143" s="8" t="s">
        <v>464</v>
      </c>
      <c r="D143" s="8" t="s">
        <v>39</v>
      </c>
      <c r="E143" s="8" t="s">
        <v>465</v>
      </c>
      <c r="F143" s="8" t="s">
        <v>23</v>
      </c>
      <c r="G143" s="8"/>
      <c r="H143" s="8"/>
      <c r="I143" s="8" t="s">
        <v>5</v>
      </c>
      <c r="J143" s="8"/>
    </row>
    <row r="144" customFormat="false" ht="43.25" hidden="false" customHeight="false" outlineLevel="0" collapsed="false">
      <c r="A144" s="8" t="s">
        <v>466</v>
      </c>
      <c r="B144" s="8" t="s">
        <v>458</v>
      </c>
      <c r="C144" s="8" t="s">
        <v>467</v>
      </c>
      <c r="D144" s="8" t="s">
        <v>39</v>
      </c>
      <c r="E144" s="8" t="s">
        <v>468</v>
      </c>
      <c r="F144" s="8" t="s">
        <v>23</v>
      </c>
      <c r="G144" s="8"/>
      <c r="H144" s="8"/>
      <c r="I144" s="8" t="s">
        <v>5</v>
      </c>
      <c r="J144" s="8"/>
    </row>
    <row r="145" customFormat="false" ht="32.8" hidden="false" customHeight="false" outlineLevel="0" collapsed="false">
      <c r="A145" s="8" t="s">
        <v>469</v>
      </c>
      <c r="B145" s="8" t="s">
        <v>470</v>
      </c>
      <c r="C145" s="8" t="s">
        <v>471</v>
      </c>
      <c r="D145" s="8" t="s">
        <v>39</v>
      </c>
      <c r="E145" s="8" t="s">
        <v>472</v>
      </c>
      <c r="F145" s="8" t="s">
        <v>23</v>
      </c>
      <c r="G145" s="8"/>
      <c r="H145" s="8"/>
      <c r="I145" s="8" t="s">
        <v>5</v>
      </c>
      <c r="J145" s="8"/>
    </row>
    <row r="146" customFormat="false" ht="43.25" hidden="false" customHeight="false" outlineLevel="0" collapsed="false">
      <c r="A146" s="8" t="s">
        <v>473</v>
      </c>
      <c r="B146" s="8" t="s">
        <v>470</v>
      </c>
      <c r="C146" s="8" t="s">
        <v>474</v>
      </c>
      <c r="D146" s="8" t="s">
        <v>39</v>
      </c>
      <c r="E146" s="8" t="s">
        <v>475</v>
      </c>
      <c r="F146" s="8" t="s">
        <v>23</v>
      </c>
      <c r="G146" s="8"/>
      <c r="H146" s="8"/>
      <c r="I146" s="8" t="s">
        <v>5</v>
      </c>
      <c r="J146" s="8"/>
    </row>
    <row r="147" customFormat="false" ht="32.8" hidden="false" customHeight="false" outlineLevel="0" collapsed="false">
      <c r="A147" s="8" t="s">
        <v>476</v>
      </c>
      <c r="B147" s="8" t="s">
        <v>470</v>
      </c>
      <c r="C147" s="8" t="s">
        <v>477</v>
      </c>
      <c r="D147" s="8" t="s">
        <v>39</v>
      </c>
      <c r="E147" s="8" t="s">
        <v>478</v>
      </c>
      <c r="F147" s="8" t="s">
        <v>23</v>
      </c>
      <c r="G147" s="8"/>
      <c r="H147" s="8"/>
      <c r="I147" s="8" t="s">
        <v>5</v>
      </c>
      <c r="J147" s="8"/>
    </row>
    <row r="148" customFormat="false" ht="43.25" hidden="false" customHeight="false" outlineLevel="0" collapsed="false">
      <c r="A148" s="8" t="s">
        <v>479</v>
      </c>
      <c r="B148" s="8" t="s">
        <v>470</v>
      </c>
      <c r="C148" s="8" t="s">
        <v>480</v>
      </c>
      <c r="D148" s="8" t="s">
        <v>39</v>
      </c>
      <c r="E148" s="8" t="s">
        <v>481</v>
      </c>
      <c r="F148" s="8" t="s">
        <v>23</v>
      </c>
      <c r="G148" s="8"/>
      <c r="H148" s="8"/>
      <c r="I148" s="8" t="s">
        <v>5</v>
      </c>
      <c r="J148" s="8"/>
    </row>
    <row r="149" customFormat="false" ht="32.8" hidden="false" customHeight="false" outlineLevel="0" collapsed="false">
      <c r="A149" s="8" t="s">
        <v>482</v>
      </c>
      <c r="B149" s="8" t="s">
        <v>483</v>
      </c>
      <c r="C149" s="8" t="s">
        <v>484</v>
      </c>
      <c r="D149" s="8" t="s">
        <v>39</v>
      </c>
      <c r="E149" s="8" t="s">
        <v>485</v>
      </c>
      <c r="F149" s="8" t="s">
        <v>24</v>
      </c>
      <c r="G149" s="8"/>
      <c r="H149" s="8"/>
      <c r="I149" s="8" t="s">
        <v>5</v>
      </c>
      <c r="J149" s="8"/>
    </row>
    <row r="150" customFormat="false" ht="22.35" hidden="false" customHeight="false" outlineLevel="0" collapsed="false">
      <c r="A150" s="8" t="s">
        <v>486</v>
      </c>
      <c r="B150" s="8" t="s">
        <v>483</v>
      </c>
      <c r="C150" s="8" t="s">
        <v>487</v>
      </c>
      <c r="D150" s="8" t="s">
        <v>39</v>
      </c>
      <c r="E150" s="8" t="s">
        <v>488</v>
      </c>
      <c r="F150" s="8" t="s">
        <v>24</v>
      </c>
      <c r="G150" s="8"/>
      <c r="H150" s="8"/>
      <c r="I150" s="8" t="s">
        <v>5</v>
      </c>
      <c r="J150" s="8"/>
    </row>
    <row r="151" customFormat="false" ht="32.8" hidden="false" customHeight="false" outlineLevel="0" collapsed="false">
      <c r="A151" s="8" t="s">
        <v>489</v>
      </c>
      <c r="B151" s="8" t="s">
        <v>483</v>
      </c>
      <c r="C151" s="8" t="s">
        <v>490</v>
      </c>
      <c r="D151" s="8" t="s">
        <v>39</v>
      </c>
      <c r="E151" s="8" t="s">
        <v>491</v>
      </c>
      <c r="F151" s="8" t="s">
        <v>24</v>
      </c>
      <c r="G151" s="8"/>
      <c r="H151" s="8"/>
      <c r="I151" s="8" t="s">
        <v>5</v>
      </c>
      <c r="J151" s="8"/>
    </row>
    <row r="152" customFormat="false" ht="43.25" hidden="false" customHeight="false" outlineLevel="0" collapsed="false">
      <c r="A152" s="8" t="s">
        <v>492</v>
      </c>
      <c r="B152" s="8" t="s">
        <v>483</v>
      </c>
      <c r="C152" s="8" t="s">
        <v>493</v>
      </c>
      <c r="D152" s="8" t="s">
        <v>39</v>
      </c>
      <c r="E152" s="8" t="s">
        <v>494</v>
      </c>
      <c r="F152" s="8" t="s">
        <v>24</v>
      </c>
      <c r="G152" s="8"/>
      <c r="H152" s="8"/>
      <c r="I152" s="8" t="s">
        <v>5</v>
      </c>
      <c r="J152" s="8"/>
    </row>
    <row r="153" customFormat="false" ht="32.8" hidden="false" customHeight="false" outlineLevel="0" collapsed="false">
      <c r="A153" s="8" t="s">
        <v>495</v>
      </c>
      <c r="B153" s="8" t="s">
        <v>483</v>
      </c>
      <c r="C153" s="8" t="s">
        <v>496</v>
      </c>
      <c r="D153" s="8" t="s">
        <v>39</v>
      </c>
      <c r="E153" s="8" t="s">
        <v>497</v>
      </c>
      <c r="F153" s="8" t="s">
        <v>24</v>
      </c>
      <c r="G153" s="8"/>
      <c r="H153" s="8"/>
      <c r="I153" s="8" t="s">
        <v>5</v>
      </c>
      <c r="J153" s="8"/>
    </row>
    <row r="154" customFormat="false" ht="32.8" hidden="false" customHeight="false" outlineLevel="0" collapsed="false">
      <c r="A154" s="8" t="s">
        <v>498</v>
      </c>
      <c r="B154" s="8" t="s">
        <v>483</v>
      </c>
      <c r="C154" s="8" t="s">
        <v>499</v>
      </c>
      <c r="D154" s="8" t="s">
        <v>39</v>
      </c>
      <c r="E154" s="8" t="s">
        <v>500</v>
      </c>
      <c r="F154" s="8" t="s">
        <v>24</v>
      </c>
      <c r="G154" s="8"/>
      <c r="H154" s="8"/>
      <c r="I154" s="8" t="s">
        <v>5</v>
      </c>
      <c r="J154" s="8"/>
    </row>
    <row r="155" customFormat="false" ht="32.8" hidden="false" customHeight="false" outlineLevel="0" collapsed="false">
      <c r="A155" s="8" t="s">
        <v>501</v>
      </c>
      <c r="B155" s="8" t="s">
        <v>483</v>
      </c>
      <c r="C155" s="8" t="s">
        <v>502</v>
      </c>
      <c r="D155" s="8" t="s">
        <v>39</v>
      </c>
      <c r="E155" s="8" t="s">
        <v>503</v>
      </c>
      <c r="F155" s="8" t="s">
        <v>24</v>
      </c>
      <c r="G155" s="8"/>
      <c r="H155" s="8"/>
      <c r="I155" s="8" t="s">
        <v>5</v>
      </c>
      <c r="J155" s="8"/>
    </row>
    <row r="156" customFormat="false" ht="32.8" hidden="false" customHeight="false" outlineLevel="0" collapsed="false">
      <c r="A156" s="8" t="s">
        <v>504</v>
      </c>
      <c r="B156" s="8" t="s">
        <v>483</v>
      </c>
      <c r="C156" s="8" t="s">
        <v>505</v>
      </c>
      <c r="D156" s="8" t="s">
        <v>39</v>
      </c>
      <c r="E156" s="8" t="s">
        <v>506</v>
      </c>
      <c r="F156" s="8" t="s">
        <v>24</v>
      </c>
      <c r="G156" s="8"/>
      <c r="H156" s="8"/>
      <c r="I156" s="8" t="s">
        <v>5</v>
      </c>
      <c r="J156" s="8"/>
    </row>
    <row r="157" customFormat="false" ht="32.8" hidden="false" customHeight="false" outlineLevel="0" collapsed="false">
      <c r="A157" s="8" t="s">
        <v>507</v>
      </c>
      <c r="B157" s="8" t="s">
        <v>483</v>
      </c>
      <c r="C157" s="8" t="s">
        <v>508</v>
      </c>
      <c r="D157" s="8" t="s">
        <v>39</v>
      </c>
      <c r="E157" s="8" t="s">
        <v>509</v>
      </c>
      <c r="F157" s="8" t="s">
        <v>24</v>
      </c>
      <c r="G157" s="8"/>
      <c r="H157" s="8"/>
      <c r="I157" s="8" t="s">
        <v>5</v>
      </c>
      <c r="J157" s="8"/>
    </row>
    <row r="158" customFormat="false" ht="32.8" hidden="false" customHeight="false" outlineLevel="0" collapsed="false">
      <c r="A158" s="8" t="s">
        <v>510</v>
      </c>
      <c r="B158" s="8" t="s">
        <v>483</v>
      </c>
      <c r="C158" s="8" t="s">
        <v>511</v>
      </c>
      <c r="D158" s="8" t="s">
        <v>39</v>
      </c>
      <c r="E158" s="8" t="s">
        <v>512</v>
      </c>
      <c r="F158" s="8" t="s">
        <v>24</v>
      </c>
      <c r="G158" s="8"/>
      <c r="H158" s="8"/>
      <c r="I158" s="8" t="s">
        <v>5</v>
      </c>
      <c r="J158" s="8"/>
    </row>
    <row r="159" customFormat="false" ht="32.8" hidden="false" customHeight="false" outlineLevel="0" collapsed="false">
      <c r="A159" s="8" t="s">
        <v>513</v>
      </c>
      <c r="B159" s="8" t="s">
        <v>483</v>
      </c>
      <c r="C159" s="8" t="s">
        <v>514</v>
      </c>
      <c r="D159" s="8" t="s">
        <v>39</v>
      </c>
      <c r="E159" s="8" t="s">
        <v>515</v>
      </c>
      <c r="F159" s="8" t="s">
        <v>24</v>
      </c>
      <c r="G159" s="8"/>
      <c r="H159" s="8"/>
      <c r="I159" s="8" t="s">
        <v>5</v>
      </c>
      <c r="J159" s="8"/>
    </row>
    <row r="160" customFormat="false" ht="32.8" hidden="false" customHeight="false" outlineLevel="0" collapsed="false">
      <c r="A160" s="8" t="s">
        <v>516</v>
      </c>
      <c r="B160" s="8" t="s">
        <v>483</v>
      </c>
      <c r="C160" s="8" t="s">
        <v>517</v>
      </c>
      <c r="D160" s="8" t="s">
        <v>39</v>
      </c>
      <c r="E160" s="8" t="s">
        <v>518</v>
      </c>
      <c r="F160" s="8" t="s">
        <v>24</v>
      </c>
      <c r="G160" s="8"/>
      <c r="H160" s="8"/>
      <c r="I160" s="8" t="s">
        <v>5</v>
      </c>
      <c r="J160" s="8"/>
    </row>
    <row r="161" customFormat="false" ht="32.8" hidden="false" customHeight="false" outlineLevel="0" collapsed="false">
      <c r="A161" s="8" t="s">
        <v>519</v>
      </c>
      <c r="B161" s="8" t="s">
        <v>483</v>
      </c>
      <c r="C161" s="8" t="s">
        <v>520</v>
      </c>
      <c r="D161" s="8" t="s">
        <v>39</v>
      </c>
      <c r="E161" s="8" t="s">
        <v>521</v>
      </c>
      <c r="F161" s="8" t="s">
        <v>24</v>
      </c>
      <c r="G161" s="8"/>
      <c r="H161" s="8"/>
      <c r="I161" s="8" t="s">
        <v>5</v>
      </c>
      <c r="J161" s="8"/>
    </row>
    <row r="162" customFormat="false" ht="22.35" hidden="false" customHeight="false" outlineLevel="0" collapsed="false">
      <c r="A162" s="8" t="s">
        <v>522</v>
      </c>
      <c r="B162" s="8" t="s">
        <v>483</v>
      </c>
      <c r="C162" s="8" t="s">
        <v>523</v>
      </c>
      <c r="D162" s="8" t="s">
        <v>39</v>
      </c>
      <c r="E162" s="8" t="s">
        <v>524</v>
      </c>
      <c r="F162" s="8" t="s">
        <v>24</v>
      </c>
      <c r="G162" s="8"/>
      <c r="H162" s="8"/>
      <c r="I162" s="8" t="s">
        <v>5</v>
      </c>
      <c r="J162" s="8"/>
    </row>
    <row r="163" customFormat="false" ht="32.8" hidden="false" customHeight="false" outlineLevel="0" collapsed="false">
      <c r="A163" s="8" t="s">
        <v>525</v>
      </c>
      <c r="B163" s="8" t="s">
        <v>483</v>
      </c>
      <c r="C163" s="8" t="s">
        <v>526</v>
      </c>
      <c r="D163" s="8" t="s">
        <v>39</v>
      </c>
      <c r="E163" s="8" t="s">
        <v>527</v>
      </c>
      <c r="F163" s="8" t="s">
        <v>24</v>
      </c>
      <c r="G163" s="8"/>
      <c r="H163" s="8"/>
      <c r="I163" s="8" t="s">
        <v>5</v>
      </c>
      <c r="J163" s="8"/>
    </row>
    <row r="164" customFormat="false" ht="32.8" hidden="false" customHeight="false" outlineLevel="0" collapsed="false">
      <c r="A164" s="8" t="s">
        <v>528</v>
      </c>
      <c r="B164" s="8" t="s">
        <v>483</v>
      </c>
      <c r="C164" s="8" t="s">
        <v>529</v>
      </c>
      <c r="D164" s="8" t="s">
        <v>39</v>
      </c>
      <c r="E164" s="8" t="s">
        <v>530</v>
      </c>
      <c r="F164" s="8" t="s">
        <v>24</v>
      </c>
      <c r="G164" s="8"/>
      <c r="H164" s="8"/>
      <c r="I164" s="8" t="s">
        <v>5</v>
      </c>
      <c r="J164" s="8"/>
    </row>
    <row r="165" customFormat="false" ht="32.8" hidden="false" customHeight="false" outlineLevel="0" collapsed="false">
      <c r="A165" s="8" t="s">
        <v>531</v>
      </c>
      <c r="B165" s="8" t="s">
        <v>483</v>
      </c>
      <c r="C165" s="8" t="s">
        <v>532</v>
      </c>
      <c r="D165" s="8" t="s">
        <v>39</v>
      </c>
      <c r="E165" s="8" t="s">
        <v>533</v>
      </c>
      <c r="F165" s="8" t="s">
        <v>24</v>
      </c>
      <c r="G165" s="8"/>
      <c r="H165" s="8"/>
      <c r="I165" s="8" t="s">
        <v>5</v>
      </c>
      <c r="J165" s="8"/>
    </row>
    <row r="166" customFormat="false" ht="22.35" hidden="false" customHeight="false" outlineLevel="0" collapsed="false">
      <c r="A166" s="8" t="s">
        <v>534</v>
      </c>
      <c r="B166" s="8" t="s">
        <v>483</v>
      </c>
      <c r="C166" s="8" t="s">
        <v>535</v>
      </c>
      <c r="D166" s="8" t="s">
        <v>39</v>
      </c>
      <c r="E166" s="8" t="s">
        <v>536</v>
      </c>
      <c r="F166" s="8" t="s">
        <v>24</v>
      </c>
      <c r="G166" s="8"/>
      <c r="H166" s="8"/>
      <c r="I166" s="8" t="s">
        <v>5</v>
      </c>
      <c r="J166" s="8"/>
    </row>
    <row r="167" customFormat="false" ht="43.25" hidden="false" customHeight="false" outlineLevel="0" collapsed="false">
      <c r="A167" s="8" t="s">
        <v>537</v>
      </c>
      <c r="B167" s="8" t="s">
        <v>483</v>
      </c>
      <c r="C167" s="8" t="s">
        <v>538</v>
      </c>
      <c r="D167" s="8" t="s">
        <v>39</v>
      </c>
      <c r="E167" s="8" t="s">
        <v>539</v>
      </c>
      <c r="F167" s="8" t="s">
        <v>24</v>
      </c>
      <c r="G167" s="8"/>
      <c r="H167" s="8"/>
      <c r="I167" s="8" t="s">
        <v>5</v>
      </c>
      <c r="J167" s="8"/>
    </row>
    <row r="168" customFormat="false" ht="32.8" hidden="false" customHeight="false" outlineLevel="0" collapsed="false">
      <c r="A168" s="8" t="s">
        <v>540</v>
      </c>
      <c r="B168" s="8" t="s">
        <v>483</v>
      </c>
      <c r="C168" s="8" t="s">
        <v>541</v>
      </c>
      <c r="D168" s="8" t="s">
        <v>39</v>
      </c>
      <c r="E168" s="8" t="s">
        <v>542</v>
      </c>
      <c r="F168" s="8" t="s">
        <v>24</v>
      </c>
      <c r="G168" s="8"/>
      <c r="H168" s="8"/>
      <c r="I168" s="8" t="s">
        <v>5</v>
      </c>
      <c r="J168" s="8"/>
    </row>
    <row r="169" customFormat="false" ht="32.8" hidden="false" customHeight="false" outlineLevel="0" collapsed="false">
      <c r="A169" s="8" t="s">
        <v>543</v>
      </c>
      <c r="B169" s="8" t="s">
        <v>483</v>
      </c>
      <c r="C169" s="8" t="s">
        <v>544</v>
      </c>
      <c r="D169" s="8" t="s">
        <v>39</v>
      </c>
      <c r="E169" s="8" t="s">
        <v>545</v>
      </c>
      <c r="F169" s="8" t="s">
        <v>24</v>
      </c>
      <c r="G169" s="8"/>
      <c r="H169" s="8"/>
      <c r="I169" s="8" t="s">
        <v>5</v>
      </c>
      <c r="J169" s="8"/>
    </row>
    <row r="170" customFormat="false" ht="32.8" hidden="false" customHeight="false" outlineLevel="0" collapsed="false">
      <c r="A170" s="8" t="s">
        <v>546</v>
      </c>
      <c r="B170" s="8" t="s">
        <v>483</v>
      </c>
      <c r="C170" s="8" t="s">
        <v>547</v>
      </c>
      <c r="D170" s="8" t="s">
        <v>39</v>
      </c>
      <c r="E170" s="8" t="s">
        <v>548</v>
      </c>
      <c r="F170" s="8" t="s">
        <v>24</v>
      </c>
      <c r="G170" s="8"/>
      <c r="H170" s="8"/>
      <c r="I170" s="8" t="s">
        <v>5</v>
      </c>
      <c r="J170" s="8"/>
    </row>
    <row r="171" customFormat="false" ht="43.25" hidden="false" customHeight="false" outlineLevel="0" collapsed="false">
      <c r="A171" s="8" t="s">
        <v>549</v>
      </c>
      <c r="B171" s="8" t="s">
        <v>483</v>
      </c>
      <c r="C171" s="8" t="s">
        <v>550</v>
      </c>
      <c r="D171" s="8" t="s">
        <v>39</v>
      </c>
      <c r="E171" s="8" t="s">
        <v>551</v>
      </c>
      <c r="F171" s="8" t="s">
        <v>24</v>
      </c>
      <c r="G171" s="8"/>
      <c r="H171" s="8"/>
      <c r="I171" s="8" t="s">
        <v>5</v>
      </c>
      <c r="J171" s="8"/>
    </row>
    <row r="172" customFormat="false" ht="32.8" hidden="false" customHeight="false" outlineLevel="0" collapsed="false">
      <c r="A172" s="8" t="s">
        <v>552</v>
      </c>
      <c r="B172" s="8" t="s">
        <v>483</v>
      </c>
      <c r="C172" s="8" t="s">
        <v>553</v>
      </c>
      <c r="D172" s="8" t="s">
        <v>39</v>
      </c>
      <c r="E172" s="8" t="s">
        <v>554</v>
      </c>
      <c r="F172" s="8" t="s">
        <v>24</v>
      </c>
      <c r="G172" s="8"/>
      <c r="H172" s="8"/>
      <c r="I172" s="8" t="s">
        <v>5</v>
      </c>
      <c r="J172" s="8"/>
    </row>
    <row r="173" customFormat="false" ht="43.25" hidden="false" customHeight="false" outlineLevel="0" collapsed="false">
      <c r="A173" s="8" t="s">
        <v>555</v>
      </c>
      <c r="B173" s="8" t="s">
        <v>483</v>
      </c>
      <c r="C173" s="8" t="s">
        <v>556</v>
      </c>
      <c r="D173" s="8" t="s">
        <v>39</v>
      </c>
      <c r="E173" s="8" t="s">
        <v>557</v>
      </c>
      <c r="F173" s="8" t="s">
        <v>24</v>
      </c>
      <c r="G173" s="8"/>
      <c r="H173" s="8"/>
      <c r="I173" s="8" t="s">
        <v>5</v>
      </c>
      <c r="J173" s="8"/>
    </row>
    <row r="174" customFormat="false" ht="22.35" hidden="false" customHeight="false" outlineLevel="0" collapsed="false">
      <c r="A174" s="8" t="s">
        <v>558</v>
      </c>
      <c r="B174" s="8" t="s">
        <v>483</v>
      </c>
      <c r="C174" s="8" t="s">
        <v>559</v>
      </c>
      <c r="D174" s="8" t="s">
        <v>39</v>
      </c>
      <c r="E174" s="8" t="s">
        <v>560</v>
      </c>
      <c r="F174" s="8" t="s">
        <v>24</v>
      </c>
      <c r="G174" s="8"/>
      <c r="H174" s="8"/>
      <c r="I174" s="8" t="s">
        <v>5</v>
      </c>
      <c r="J174" s="8"/>
    </row>
    <row r="175" customFormat="false" ht="32.8" hidden="false" customHeight="false" outlineLevel="0" collapsed="false">
      <c r="A175" s="8" t="s">
        <v>561</v>
      </c>
      <c r="B175" s="8" t="s">
        <v>483</v>
      </c>
      <c r="C175" s="8" t="s">
        <v>562</v>
      </c>
      <c r="D175" s="8" t="s">
        <v>39</v>
      </c>
      <c r="E175" s="8" t="s">
        <v>563</v>
      </c>
      <c r="F175" s="8" t="s">
        <v>24</v>
      </c>
      <c r="G175" s="8"/>
      <c r="H175" s="8"/>
      <c r="I175" s="8" t="s">
        <v>5</v>
      </c>
      <c r="J175" s="8"/>
    </row>
    <row r="176" customFormat="false" ht="43.25" hidden="false" customHeight="false" outlineLevel="0" collapsed="false">
      <c r="A176" s="8" t="s">
        <v>564</v>
      </c>
      <c r="B176" s="8" t="s">
        <v>483</v>
      </c>
      <c r="C176" s="8" t="s">
        <v>565</v>
      </c>
      <c r="D176" s="8" t="s">
        <v>39</v>
      </c>
      <c r="E176" s="8" t="s">
        <v>566</v>
      </c>
      <c r="F176" s="8" t="s">
        <v>24</v>
      </c>
      <c r="G176" s="8"/>
      <c r="H176" s="8"/>
      <c r="I176" s="8" t="s">
        <v>5</v>
      </c>
      <c r="J176" s="8"/>
    </row>
    <row r="177" customFormat="false" ht="22.35" hidden="false" customHeight="false" outlineLevel="0" collapsed="false">
      <c r="A177" s="8" t="s">
        <v>567</v>
      </c>
      <c r="B177" s="8" t="s">
        <v>483</v>
      </c>
      <c r="C177" s="8" t="s">
        <v>568</v>
      </c>
      <c r="D177" s="8" t="s">
        <v>39</v>
      </c>
      <c r="E177" s="8" t="s">
        <v>569</v>
      </c>
      <c r="F177" s="8" t="s">
        <v>24</v>
      </c>
      <c r="G177" s="8"/>
      <c r="H177" s="8"/>
      <c r="I177" s="8" t="s">
        <v>5</v>
      </c>
      <c r="J177" s="8"/>
    </row>
    <row r="178" customFormat="false" ht="22.35" hidden="false" customHeight="false" outlineLevel="0" collapsed="false">
      <c r="A178" s="8" t="s">
        <v>570</v>
      </c>
      <c r="B178" s="8" t="s">
        <v>483</v>
      </c>
      <c r="C178" s="8" t="s">
        <v>571</v>
      </c>
      <c r="D178" s="8" t="s">
        <v>39</v>
      </c>
      <c r="E178" s="8" t="s">
        <v>572</v>
      </c>
      <c r="F178" s="8" t="s">
        <v>24</v>
      </c>
      <c r="G178" s="8"/>
      <c r="H178" s="8"/>
      <c r="I178" s="8" t="s">
        <v>5</v>
      </c>
      <c r="J178" s="8"/>
    </row>
    <row r="179" customFormat="false" ht="32.8" hidden="false" customHeight="false" outlineLevel="0" collapsed="false">
      <c r="A179" s="8" t="s">
        <v>573</v>
      </c>
      <c r="B179" s="8" t="s">
        <v>483</v>
      </c>
      <c r="C179" s="8" t="s">
        <v>574</v>
      </c>
      <c r="D179" s="8" t="s">
        <v>39</v>
      </c>
      <c r="E179" s="8" t="s">
        <v>575</v>
      </c>
      <c r="F179" s="8" t="s">
        <v>24</v>
      </c>
      <c r="G179" s="8"/>
      <c r="H179" s="8"/>
      <c r="I179" s="8" t="s">
        <v>5</v>
      </c>
      <c r="J179" s="8"/>
    </row>
    <row r="180" customFormat="false" ht="32.8" hidden="false" customHeight="false" outlineLevel="0" collapsed="false">
      <c r="A180" s="8" t="s">
        <v>576</v>
      </c>
      <c r="B180" s="8" t="s">
        <v>483</v>
      </c>
      <c r="C180" s="8" t="s">
        <v>577</v>
      </c>
      <c r="D180" s="8" t="s">
        <v>39</v>
      </c>
      <c r="E180" s="8" t="s">
        <v>578</v>
      </c>
      <c r="F180" s="8" t="s">
        <v>24</v>
      </c>
      <c r="G180" s="8"/>
      <c r="H180" s="8"/>
      <c r="I180" s="8" t="s">
        <v>5</v>
      </c>
      <c r="J180" s="8"/>
    </row>
    <row r="181" customFormat="false" ht="43.25" hidden="false" customHeight="false" outlineLevel="0" collapsed="false">
      <c r="A181" s="8" t="s">
        <v>579</v>
      </c>
      <c r="B181" s="8" t="s">
        <v>483</v>
      </c>
      <c r="C181" s="8" t="s">
        <v>580</v>
      </c>
      <c r="D181" s="8" t="s">
        <v>39</v>
      </c>
      <c r="E181" s="8" t="s">
        <v>581</v>
      </c>
      <c r="F181" s="8" t="s">
        <v>24</v>
      </c>
      <c r="G181" s="8"/>
      <c r="H181" s="8"/>
      <c r="I181" s="8" t="s">
        <v>5</v>
      </c>
      <c r="J181" s="8"/>
    </row>
    <row r="182" customFormat="false" ht="32.8" hidden="false" customHeight="false" outlineLevel="0" collapsed="false">
      <c r="A182" s="8" t="s">
        <v>582</v>
      </c>
      <c r="B182" s="8" t="s">
        <v>483</v>
      </c>
      <c r="C182" s="8" t="s">
        <v>583</v>
      </c>
      <c r="D182" s="8" t="s">
        <v>39</v>
      </c>
      <c r="E182" s="8" t="s">
        <v>584</v>
      </c>
      <c r="F182" s="8" t="s">
        <v>24</v>
      </c>
      <c r="G182" s="8"/>
      <c r="H182" s="8"/>
      <c r="I182" s="8" t="s">
        <v>5</v>
      </c>
      <c r="J182" s="8"/>
    </row>
    <row r="183" customFormat="false" ht="32.8" hidden="false" customHeight="false" outlineLevel="0" collapsed="false">
      <c r="A183" s="8" t="s">
        <v>585</v>
      </c>
      <c r="B183" s="8" t="s">
        <v>483</v>
      </c>
      <c r="C183" s="8" t="s">
        <v>586</v>
      </c>
      <c r="D183" s="8" t="s">
        <v>39</v>
      </c>
      <c r="E183" s="8" t="s">
        <v>587</v>
      </c>
      <c r="F183" s="8" t="s">
        <v>24</v>
      </c>
      <c r="G183" s="8"/>
      <c r="H183" s="8"/>
      <c r="I183" s="8" t="s">
        <v>5</v>
      </c>
      <c r="J183" s="8"/>
    </row>
    <row r="184" customFormat="false" ht="32.8" hidden="false" customHeight="false" outlineLevel="0" collapsed="false">
      <c r="A184" s="8" t="s">
        <v>588</v>
      </c>
      <c r="B184" s="8" t="s">
        <v>483</v>
      </c>
      <c r="C184" s="8" t="s">
        <v>589</v>
      </c>
      <c r="D184" s="8" t="s">
        <v>39</v>
      </c>
      <c r="E184" s="8" t="s">
        <v>590</v>
      </c>
      <c r="F184" s="8" t="s">
        <v>24</v>
      </c>
      <c r="G184" s="8"/>
      <c r="H184" s="8"/>
      <c r="I184" s="8" t="s">
        <v>5</v>
      </c>
      <c r="J184" s="8"/>
    </row>
    <row r="185" customFormat="false" ht="22.35" hidden="false" customHeight="false" outlineLevel="0" collapsed="false">
      <c r="A185" s="8" t="s">
        <v>591</v>
      </c>
      <c r="B185" s="8" t="s">
        <v>483</v>
      </c>
      <c r="C185" s="8" t="s">
        <v>592</v>
      </c>
      <c r="D185" s="8" t="s">
        <v>39</v>
      </c>
      <c r="E185" s="8" t="s">
        <v>593</v>
      </c>
      <c r="F185" s="8" t="s">
        <v>24</v>
      </c>
      <c r="G185" s="8"/>
      <c r="H185" s="8"/>
      <c r="I185" s="8" t="s">
        <v>5</v>
      </c>
      <c r="J185" s="8"/>
    </row>
    <row r="186" customFormat="false" ht="43.25" hidden="false" customHeight="false" outlineLevel="0" collapsed="false">
      <c r="A186" s="8" t="s">
        <v>594</v>
      </c>
      <c r="B186" s="8" t="s">
        <v>483</v>
      </c>
      <c r="C186" s="8" t="s">
        <v>595</v>
      </c>
      <c r="D186" s="8" t="s">
        <v>39</v>
      </c>
      <c r="E186" s="8" t="s">
        <v>596</v>
      </c>
      <c r="F186" s="8" t="s">
        <v>24</v>
      </c>
      <c r="G186" s="8"/>
      <c r="H186" s="8"/>
      <c r="I186" s="8" t="s">
        <v>5</v>
      </c>
      <c r="J186" s="8"/>
    </row>
    <row r="187" customFormat="false" ht="32.8" hidden="false" customHeight="false" outlineLevel="0" collapsed="false">
      <c r="A187" s="8" t="s">
        <v>597</v>
      </c>
      <c r="B187" s="8" t="s">
        <v>483</v>
      </c>
      <c r="C187" s="8" t="s">
        <v>598</v>
      </c>
      <c r="D187" s="8" t="s">
        <v>39</v>
      </c>
      <c r="E187" s="8" t="s">
        <v>599</v>
      </c>
      <c r="F187" s="8" t="s">
        <v>24</v>
      </c>
      <c r="G187" s="8"/>
      <c r="H187" s="8"/>
      <c r="I187" s="8" t="s">
        <v>5</v>
      </c>
      <c r="J187" s="8"/>
    </row>
    <row r="188" customFormat="false" ht="32.8" hidden="false" customHeight="false" outlineLevel="0" collapsed="false">
      <c r="A188" s="8" t="s">
        <v>600</v>
      </c>
      <c r="B188" s="8" t="s">
        <v>601</v>
      </c>
      <c r="C188" s="8" t="s">
        <v>602</v>
      </c>
      <c r="D188" s="8" t="s">
        <v>39</v>
      </c>
      <c r="E188" s="8" t="s">
        <v>603</v>
      </c>
      <c r="F188" s="8" t="s">
        <v>25</v>
      </c>
      <c r="G188" s="8"/>
      <c r="H188" s="8"/>
      <c r="I188" s="8" t="s">
        <v>5</v>
      </c>
      <c r="J188" s="8"/>
    </row>
    <row r="189" customFormat="false" ht="32.8" hidden="false" customHeight="false" outlineLevel="0" collapsed="false">
      <c r="A189" s="8" t="s">
        <v>604</v>
      </c>
      <c r="B189" s="8" t="s">
        <v>601</v>
      </c>
      <c r="C189" s="8" t="s">
        <v>605</v>
      </c>
      <c r="D189" s="8" t="s">
        <v>39</v>
      </c>
      <c r="E189" s="8" t="s">
        <v>606</v>
      </c>
      <c r="F189" s="8" t="s">
        <v>25</v>
      </c>
      <c r="G189" s="8"/>
      <c r="H189" s="8"/>
      <c r="I189" s="8" t="s">
        <v>5</v>
      </c>
      <c r="J189" s="8"/>
    </row>
    <row r="190" customFormat="false" ht="32.8" hidden="false" customHeight="false" outlineLevel="0" collapsed="false">
      <c r="A190" s="8" t="s">
        <v>607</v>
      </c>
      <c r="B190" s="8" t="s">
        <v>601</v>
      </c>
      <c r="C190" s="8" t="s">
        <v>608</v>
      </c>
      <c r="D190" s="8" t="s">
        <v>39</v>
      </c>
      <c r="E190" s="8" t="s">
        <v>609</v>
      </c>
      <c r="F190" s="8" t="s">
        <v>25</v>
      </c>
      <c r="G190" s="8"/>
      <c r="H190" s="8"/>
      <c r="I190" s="8" t="s">
        <v>5</v>
      </c>
      <c r="J190" s="8"/>
    </row>
    <row r="191" customFormat="false" ht="32.8" hidden="false" customHeight="false" outlineLevel="0" collapsed="false">
      <c r="A191" s="8" t="s">
        <v>610</v>
      </c>
      <c r="B191" s="8" t="s">
        <v>601</v>
      </c>
      <c r="C191" s="8" t="s">
        <v>611</v>
      </c>
      <c r="D191" s="8" t="s">
        <v>39</v>
      </c>
      <c r="E191" s="8" t="s">
        <v>612</v>
      </c>
      <c r="F191" s="8" t="s">
        <v>25</v>
      </c>
      <c r="G191" s="8"/>
      <c r="H191" s="8"/>
      <c r="I191" s="8" t="s">
        <v>5</v>
      </c>
      <c r="J191" s="8"/>
    </row>
    <row r="192" customFormat="false" ht="32.8" hidden="false" customHeight="false" outlineLevel="0" collapsed="false">
      <c r="A192" s="8" t="s">
        <v>613</v>
      </c>
      <c r="B192" s="8" t="s">
        <v>601</v>
      </c>
      <c r="C192" s="8" t="s">
        <v>614</v>
      </c>
      <c r="D192" s="8" t="s">
        <v>39</v>
      </c>
      <c r="E192" s="8" t="s">
        <v>615</v>
      </c>
      <c r="F192" s="8" t="s">
        <v>25</v>
      </c>
      <c r="G192" s="8"/>
      <c r="H192" s="8"/>
      <c r="I192" s="8" t="s">
        <v>5</v>
      </c>
      <c r="J192" s="8"/>
    </row>
    <row r="193" customFormat="false" ht="32.8" hidden="false" customHeight="false" outlineLevel="0" collapsed="false">
      <c r="A193" s="8" t="s">
        <v>616</v>
      </c>
      <c r="B193" s="8" t="s">
        <v>601</v>
      </c>
      <c r="C193" s="8" t="s">
        <v>617</v>
      </c>
      <c r="D193" s="8" t="s">
        <v>39</v>
      </c>
      <c r="E193" s="8" t="s">
        <v>618</v>
      </c>
      <c r="F193" s="8" t="s">
        <v>25</v>
      </c>
      <c r="G193" s="8"/>
      <c r="H193" s="8"/>
      <c r="I193" s="8" t="s">
        <v>5</v>
      </c>
      <c r="J193" s="8"/>
    </row>
    <row r="194" customFormat="false" ht="32.8" hidden="false" customHeight="false" outlineLevel="0" collapsed="false">
      <c r="A194" s="8" t="s">
        <v>619</v>
      </c>
      <c r="B194" s="8" t="s">
        <v>601</v>
      </c>
      <c r="C194" s="8" t="s">
        <v>620</v>
      </c>
      <c r="D194" s="8" t="s">
        <v>39</v>
      </c>
      <c r="E194" s="8" t="s">
        <v>621</v>
      </c>
      <c r="F194" s="8" t="s">
        <v>25</v>
      </c>
      <c r="G194" s="8"/>
      <c r="H194" s="8"/>
      <c r="I194" s="8" t="s">
        <v>5</v>
      </c>
      <c r="J194" s="8"/>
    </row>
    <row r="195" customFormat="false" ht="32.8" hidden="false" customHeight="false" outlineLevel="0" collapsed="false">
      <c r="A195" s="8" t="s">
        <v>622</v>
      </c>
      <c r="B195" s="8" t="s">
        <v>601</v>
      </c>
      <c r="C195" s="8" t="s">
        <v>623</v>
      </c>
      <c r="D195" s="8" t="s">
        <v>39</v>
      </c>
      <c r="E195" s="8" t="s">
        <v>624</v>
      </c>
      <c r="F195" s="8" t="s">
        <v>25</v>
      </c>
      <c r="G195" s="8"/>
      <c r="H195" s="8"/>
      <c r="I195" s="8" t="s">
        <v>5</v>
      </c>
      <c r="J195" s="8"/>
    </row>
    <row r="196" customFormat="false" ht="32.8" hidden="false" customHeight="false" outlineLevel="0" collapsed="false">
      <c r="A196" s="8" t="s">
        <v>625</v>
      </c>
      <c r="B196" s="8" t="s">
        <v>601</v>
      </c>
      <c r="C196" s="8" t="s">
        <v>626</v>
      </c>
      <c r="D196" s="8" t="s">
        <v>39</v>
      </c>
      <c r="E196" s="8" t="s">
        <v>627</v>
      </c>
      <c r="F196" s="8" t="s">
        <v>25</v>
      </c>
      <c r="G196" s="8"/>
      <c r="H196" s="8"/>
      <c r="I196" s="8" t="s">
        <v>5</v>
      </c>
      <c r="J196" s="8"/>
    </row>
    <row r="197" customFormat="false" ht="32.8" hidden="false" customHeight="false" outlineLevel="0" collapsed="false">
      <c r="A197" s="8" t="s">
        <v>628</v>
      </c>
      <c r="B197" s="8" t="s">
        <v>601</v>
      </c>
      <c r="C197" s="8" t="s">
        <v>629</v>
      </c>
      <c r="D197" s="8" t="s">
        <v>39</v>
      </c>
      <c r="E197" s="8" t="s">
        <v>630</v>
      </c>
      <c r="F197" s="8" t="s">
        <v>25</v>
      </c>
      <c r="G197" s="8"/>
      <c r="H197" s="8"/>
      <c r="I197" s="8" t="s">
        <v>5</v>
      </c>
      <c r="J197" s="8"/>
    </row>
    <row r="198" customFormat="false" ht="32.8" hidden="false" customHeight="false" outlineLevel="0" collapsed="false">
      <c r="A198" s="8" t="s">
        <v>631</v>
      </c>
      <c r="B198" s="8" t="s">
        <v>601</v>
      </c>
      <c r="C198" s="8" t="s">
        <v>632</v>
      </c>
      <c r="D198" s="8" t="s">
        <v>39</v>
      </c>
      <c r="E198" s="8" t="s">
        <v>633</v>
      </c>
      <c r="F198" s="8" t="s">
        <v>25</v>
      </c>
      <c r="G198" s="8"/>
      <c r="H198" s="8"/>
      <c r="I198" s="8" t="s">
        <v>5</v>
      </c>
      <c r="J198" s="8"/>
    </row>
    <row r="199" customFormat="false" ht="32.8" hidden="false" customHeight="false" outlineLevel="0" collapsed="false">
      <c r="A199" s="8" t="s">
        <v>634</v>
      </c>
      <c r="B199" s="8" t="s">
        <v>601</v>
      </c>
      <c r="C199" s="8" t="s">
        <v>635</v>
      </c>
      <c r="D199" s="8" t="s">
        <v>39</v>
      </c>
      <c r="E199" s="8" t="s">
        <v>636</v>
      </c>
      <c r="F199" s="8" t="s">
        <v>25</v>
      </c>
      <c r="G199" s="8"/>
      <c r="H199" s="8"/>
      <c r="I199" s="8" t="s">
        <v>5</v>
      </c>
      <c r="J199" s="8"/>
    </row>
    <row r="200" customFormat="false" ht="22.35" hidden="false" customHeight="false" outlineLevel="0" collapsed="false">
      <c r="A200" s="8" t="s">
        <v>637</v>
      </c>
      <c r="B200" s="8" t="s">
        <v>601</v>
      </c>
      <c r="C200" s="8" t="s">
        <v>638</v>
      </c>
      <c r="D200" s="8" t="s">
        <v>39</v>
      </c>
      <c r="E200" s="8" t="s">
        <v>639</v>
      </c>
      <c r="F200" s="8" t="s">
        <v>25</v>
      </c>
      <c r="G200" s="8"/>
      <c r="H200" s="8"/>
      <c r="I200" s="8" t="s">
        <v>5</v>
      </c>
      <c r="J200" s="8"/>
    </row>
    <row r="201" customFormat="false" ht="53.7" hidden="false" customHeight="false" outlineLevel="0" collapsed="false">
      <c r="A201" s="8" t="s">
        <v>640</v>
      </c>
      <c r="B201" s="8" t="s">
        <v>601</v>
      </c>
      <c r="C201" s="8" t="s">
        <v>641</v>
      </c>
      <c r="D201" s="8" t="s">
        <v>39</v>
      </c>
      <c r="E201" s="8"/>
      <c r="F201" s="8" t="s">
        <v>25</v>
      </c>
      <c r="G201" s="8"/>
      <c r="H201" s="8"/>
      <c r="I201" s="8" t="s">
        <v>5</v>
      </c>
      <c r="J201" s="8"/>
    </row>
    <row r="202" customFormat="false" ht="32.8" hidden="false" customHeight="false" outlineLevel="0" collapsed="false">
      <c r="A202" s="8" t="s">
        <v>642</v>
      </c>
      <c r="B202" s="8" t="s">
        <v>601</v>
      </c>
      <c r="C202" s="8" t="s">
        <v>643</v>
      </c>
      <c r="D202" s="8" t="s">
        <v>39</v>
      </c>
      <c r="E202" s="8" t="s">
        <v>644</v>
      </c>
      <c r="F202" s="8" t="s">
        <v>25</v>
      </c>
      <c r="G202" s="8"/>
      <c r="H202" s="8"/>
      <c r="I202" s="8" t="s">
        <v>5</v>
      </c>
      <c r="J202" s="8"/>
    </row>
    <row r="203" customFormat="false" ht="22.35" hidden="false" customHeight="false" outlineLevel="0" collapsed="false">
      <c r="A203" s="8" t="s">
        <v>645</v>
      </c>
      <c r="B203" s="8" t="s">
        <v>601</v>
      </c>
      <c r="C203" s="8" t="s">
        <v>646</v>
      </c>
      <c r="D203" s="8" t="s">
        <v>39</v>
      </c>
      <c r="E203" s="8" t="s">
        <v>647</v>
      </c>
      <c r="F203" s="8" t="s">
        <v>25</v>
      </c>
      <c r="G203" s="8"/>
      <c r="H203" s="8"/>
      <c r="I203" s="8" t="s">
        <v>5</v>
      </c>
      <c r="J203" s="8"/>
    </row>
    <row r="204" customFormat="false" ht="32.8" hidden="false" customHeight="false" outlineLevel="0" collapsed="false">
      <c r="A204" s="8" t="s">
        <v>648</v>
      </c>
      <c r="B204" s="8" t="s">
        <v>601</v>
      </c>
      <c r="C204" s="8" t="s">
        <v>649</v>
      </c>
      <c r="D204" s="8" t="s">
        <v>39</v>
      </c>
      <c r="E204" s="8" t="s">
        <v>650</v>
      </c>
      <c r="F204" s="8" t="s">
        <v>25</v>
      </c>
      <c r="G204" s="8"/>
      <c r="H204" s="8"/>
      <c r="I204" s="8" t="s">
        <v>5</v>
      </c>
      <c r="J204" s="8"/>
    </row>
    <row r="205" customFormat="false" ht="32.8" hidden="false" customHeight="false" outlineLevel="0" collapsed="false">
      <c r="A205" s="8" t="s">
        <v>651</v>
      </c>
      <c r="B205" s="8" t="s">
        <v>601</v>
      </c>
      <c r="C205" s="8" t="s">
        <v>652</v>
      </c>
      <c r="D205" s="8" t="s">
        <v>39</v>
      </c>
      <c r="E205" s="8" t="s">
        <v>653</v>
      </c>
      <c r="F205" s="8" t="s">
        <v>25</v>
      </c>
      <c r="G205" s="8"/>
      <c r="H205" s="8"/>
      <c r="I205" s="8" t="s">
        <v>5</v>
      </c>
      <c r="J205" s="8"/>
    </row>
    <row r="206" customFormat="false" ht="43.25" hidden="false" customHeight="false" outlineLevel="0" collapsed="false">
      <c r="A206" s="8" t="s">
        <v>654</v>
      </c>
      <c r="B206" s="8" t="s">
        <v>601</v>
      </c>
      <c r="C206" s="8" t="s">
        <v>655</v>
      </c>
      <c r="D206" s="8" t="s">
        <v>39</v>
      </c>
      <c r="E206" s="8" t="s">
        <v>656</v>
      </c>
      <c r="F206" s="8" t="s">
        <v>25</v>
      </c>
      <c r="G206" s="8"/>
      <c r="H206" s="8"/>
      <c r="I206" s="8" t="s">
        <v>5</v>
      </c>
      <c r="J206" s="8"/>
    </row>
    <row r="207" customFormat="false" ht="32.8" hidden="false" customHeight="false" outlineLevel="0" collapsed="false">
      <c r="A207" s="8" t="s">
        <v>657</v>
      </c>
      <c r="B207" s="8" t="s">
        <v>601</v>
      </c>
      <c r="C207" s="8" t="s">
        <v>658</v>
      </c>
      <c r="D207" s="8" t="s">
        <v>39</v>
      </c>
      <c r="E207" s="8" t="s">
        <v>659</v>
      </c>
      <c r="F207" s="8" t="s">
        <v>25</v>
      </c>
      <c r="G207" s="8"/>
      <c r="H207" s="8"/>
      <c r="I207" s="8" t="s">
        <v>5</v>
      </c>
      <c r="J207" s="8"/>
    </row>
    <row r="208" customFormat="false" ht="32.8" hidden="false" customHeight="false" outlineLevel="0" collapsed="false">
      <c r="A208" s="8" t="s">
        <v>660</v>
      </c>
      <c r="B208" s="8" t="s">
        <v>601</v>
      </c>
      <c r="C208" s="8" t="s">
        <v>661</v>
      </c>
      <c r="D208" s="8" t="s">
        <v>39</v>
      </c>
      <c r="E208" s="8" t="s">
        <v>662</v>
      </c>
      <c r="F208" s="8" t="s">
        <v>25</v>
      </c>
      <c r="G208" s="8"/>
      <c r="H208" s="8"/>
      <c r="I208" s="8" t="s">
        <v>5</v>
      </c>
      <c r="J208" s="8"/>
    </row>
    <row r="209" customFormat="false" ht="43.25" hidden="false" customHeight="false" outlineLevel="0" collapsed="false">
      <c r="A209" s="8" t="s">
        <v>663</v>
      </c>
      <c r="B209" s="8" t="s">
        <v>601</v>
      </c>
      <c r="C209" s="8" t="s">
        <v>664</v>
      </c>
      <c r="D209" s="8" t="s">
        <v>39</v>
      </c>
      <c r="E209" s="8" t="s">
        <v>665</v>
      </c>
      <c r="F209" s="8" t="s">
        <v>25</v>
      </c>
      <c r="G209" s="8"/>
      <c r="H209" s="8"/>
      <c r="I209" s="8" t="s">
        <v>5</v>
      </c>
      <c r="J209" s="8"/>
    </row>
    <row r="210" customFormat="false" ht="22.35" hidden="false" customHeight="false" outlineLevel="0" collapsed="false">
      <c r="A210" s="8" t="s">
        <v>666</v>
      </c>
      <c r="B210" s="8" t="s">
        <v>601</v>
      </c>
      <c r="C210" s="8" t="s">
        <v>667</v>
      </c>
      <c r="D210" s="8" t="s">
        <v>39</v>
      </c>
      <c r="E210" s="8" t="s">
        <v>668</v>
      </c>
      <c r="F210" s="8" t="s">
        <v>25</v>
      </c>
      <c r="G210" s="8"/>
      <c r="H210" s="8"/>
      <c r="I210" s="8" t="s">
        <v>5</v>
      </c>
      <c r="J210" s="8"/>
    </row>
    <row r="211" customFormat="false" ht="43.25" hidden="false" customHeight="false" outlineLevel="0" collapsed="false">
      <c r="A211" s="8" t="s">
        <v>669</v>
      </c>
      <c r="B211" s="8" t="s">
        <v>601</v>
      </c>
      <c r="C211" s="8" t="s">
        <v>670</v>
      </c>
      <c r="D211" s="8" t="s">
        <v>39</v>
      </c>
      <c r="E211" s="8" t="s">
        <v>671</v>
      </c>
      <c r="F211" s="8" t="s">
        <v>25</v>
      </c>
      <c r="G211" s="8"/>
      <c r="H211" s="8"/>
      <c r="I211" s="8" t="s">
        <v>5</v>
      </c>
      <c r="J211" s="8"/>
    </row>
    <row r="212" customFormat="false" ht="32.8" hidden="false" customHeight="false" outlineLevel="0" collapsed="false">
      <c r="A212" s="8" t="s">
        <v>672</v>
      </c>
      <c r="B212" s="8" t="s">
        <v>601</v>
      </c>
      <c r="C212" s="8" t="s">
        <v>673</v>
      </c>
      <c r="D212" s="8" t="s">
        <v>39</v>
      </c>
      <c r="E212" s="8" t="s">
        <v>674</v>
      </c>
      <c r="F212" s="8" t="s">
        <v>25</v>
      </c>
      <c r="G212" s="8"/>
      <c r="H212" s="8"/>
      <c r="I212" s="8" t="s">
        <v>5</v>
      </c>
      <c r="J212" s="8"/>
    </row>
    <row r="213" customFormat="false" ht="32.8" hidden="false" customHeight="false" outlineLevel="0" collapsed="false">
      <c r="A213" s="8" t="s">
        <v>675</v>
      </c>
      <c r="B213" s="8" t="s">
        <v>601</v>
      </c>
      <c r="C213" s="8" t="s">
        <v>676</v>
      </c>
      <c r="D213" s="8" t="s">
        <v>39</v>
      </c>
      <c r="E213" s="8" t="s">
        <v>677</v>
      </c>
      <c r="F213" s="8" t="s">
        <v>25</v>
      </c>
      <c r="G213" s="8"/>
      <c r="H213" s="8"/>
      <c r="I213" s="8" t="s">
        <v>5</v>
      </c>
      <c r="J213" s="8"/>
    </row>
    <row r="214" customFormat="false" ht="32.8" hidden="false" customHeight="false" outlineLevel="0" collapsed="false">
      <c r="A214" s="8" t="s">
        <v>678</v>
      </c>
      <c r="B214" s="8" t="s">
        <v>601</v>
      </c>
      <c r="C214" s="8" t="s">
        <v>679</v>
      </c>
      <c r="D214" s="8" t="s">
        <v>39</v>
      </c>
      <c r="E214" s="8" t="s">
        <v>680</v>
      </c>
      <c r="F214" s="8" t="s">
        <v>25</v>
      </c>
      <c r="G214" s="8"/>
      <c r="H214" s="8"/>
      <c r="I214" s="8" t="s">
        <v>5</v>
      </c>
      <c r="J214" s="8"/>
    </row>
    <row r="215" customFormat="false" ht="32.8" hidden="false" customHeight="false" outlineLevel="0" collapsed="false">
      <c r="A215" s="8" t="s">
        <v>681</v>
      </c>
      <c r="B215" s="8" t="s">
        <v>601</v>
      </c>
      <c r="C215" s="8" t="s">
        <v>682</v>
      </c>
      <c r="D215" s="8" t="s">
        <v>39</v>
      </c>
      <c r="E215" s="8" t="s">
        <v>683</v>
      </c>
      <c r="F215" s="8" t="s">
        <v>25</v>
      </c>
      <c r="G215" s="8"/>
      <c r="H215" s="8"/>
      <c r="I215" s="8" t="s">
        <v>5</v>
      </c>
      <c r="J215" s="8"/>
    </row>
    <row r="216" customFormat="false" ht="32.8" hidden="false" customHeight="false" outlineLevel="0" collapsed="false">
      <c r="A216" s="8" t="s">
        <v>684</v>
      </c>
      <c r="B216" s="8" t="s">
        <v>601</v>
      </c>
      <c r="C216" s="8" t="s">
        <v>685</v>
      </c>
      <c r="D216" s="8" t="s">
        <v>39</v>
      </c>
      <c r="E216" s="8" t="s">
        <v>686</v>
      </c>
      <c r="F216" s="8" t="s">
        <v>25</v>
      </c>
      <c r="G216" s="8"/>
      <c r="H216" s="8"/>
      <c r="I216" s="8" t="s">
        <v>5</v>
      </c>
      <c r="J216" s="8"/>
    </row>
    <row r="217" customFormat="false" ht="22.35" hidden="false" customHeight="false" outlineLevel="0" collapsed="false">
      <c r="A217" s="8" t="s">
        <v>687</v>
      </c>
      <c r="B217" s="8" t="s">
        <v>601</v>
      </c>
      <c r="C217" s="8" t="s">
        <v>688</v>
      </c>
      <c r="D217" s="8" t="s">
        <v>39</v>
      </c>
      <c r="E217" s="8" t="s">
        <v>689</v>
      </c>
      <c r="F217" s="8" t="s">
        <v>25</v>
      </c>
      <c r="G217" s="8"/>
      <c r="H217" s="8"/>
      <c r="I217" s="8" t="s">
        <v>5</v>
      </c>
      <c r="J217" s="8"/>
    </row>
    <row r="218" customFormat="false" ht="32.8" hidden="false" customHeight="false" outlineLevel="0" collapsed="false">
      <c r="A218" s="8" t="s">
        <v>690</v>
      </c>
      <c r="B218" s="8" t="s">
        <v>601</v>
      </c>
      <c r="C218" s="8" t="s">
        <v>691</v>
      </c>
      <c r="D218" s="8" t="s">
        <v>39</v>
      </c>
      <c r="E218" s="8" t="s">
        <v>692</v>
      </c>
      <c r="F218" s="8" t="s">
        <v>25</v>
      </c>
      <c r="G218" s="8"/>
      <c r="H218" s="8"/>
      <c r="I218" s="8" t="s">
        <v>5</v>
      </c>
      <c r="J218" s="8"/>
    </row>
    <row r="219" customFormat="false" ht="32.8" hidden="false" customHeight="false" outlineLevel="0" collapsed="false">
      <c r="A219" s="8" t="s">
        <v>693</v>
      </c>
      <c r="B219" s="8" t="s">
        <v>601</v>
      </c>
      <c r="C219" s="8" t="s">
        <v>694</v>
      </c>
      <c r="D219" s="8" t="s">
        <v>39</v>
      </c>
      <c r="E219" s="8" t="s">
        <v>695</v>
      </c>
      <c r="F219" s="8" t="s">
        <v>25</v>
      </c>
      <c r="G219" s="8"/>
      <c r="H219" s="8"/>
      <c r="I219" s="8" t="s">
        <v>5</v>
      </c>
      <c r="J219" s="8"/>
    </row>
    <row r="220" customFormat="false" ht="32.8" hidden="false" customHeight="false" outlineLevel="0" collapsed="false">
      <c r="A220" s="8" t="s">
        <v>696</v>
      </c>
      <c r="B220" s="8" t="s">
        <v>601</v>
      </c>
      <c r="C220" s="8" t="s">
        <v>697</v>
      </c>
      <c r="D220" s="8" t="s">
        <v>39</v>
      </c>
      <c r="E220" s="8" t="s">
        <v>698</v>
      </c>
      <c r="F220" s="8" t="s">
        <v>25</v>
      </c>
      <c r="G220" s="8"/>
      <c r="H220" s="8"/>
      <c r="I220" s="8" t="s">
        <v>5</v>
      </c>
      <c r="J220" s="8"/>
    </row>
    <row r="221" customFormat="false" ht="32.8" hidden="false" customHeight="false" outlineLevel="0" collapsed="false">
      <c r="A221" s="8" t="s">
        <v>699</v>
      </c>
      <c r="B221" s="8" t="s">
        <v>601</v>
      </c>
      <c r="C221" s="8" t="s">
        <v>700</v>
      </c>
      <c r="D221" s="8" t="s">
        <v>39</v>
      </c>
      <c r="E221" s="8" t="s">
        <v>701</v>
      </c>
      <c r="F221" s="8" t="s">
        <v>25</v>
      </c>
      <c r="G221" s="8"/>
      <c r="H221" s="8"/>
      <c r="I221" s="8" t="s">
        <v>5</v>
      </c>
      <c r="J221" s="8"/>
    </row>
    <row r="222" customFormat="false" ht="32.8" hidden="false" customHeight="false" outlineLevel="0" collapsed="false">
      <c r="A222" s="8" t="s">
        <v>702</v>
      </c>
      <c r="B222" s="8" t="s">
        <v>601</v>
      </c>
      <c r="C222" s="8" t="s">
        <v>703</v>
      </c>
      <c r="D222" s="8" t="s">
        <v>39</v>
      </c>
      <c r="E222" s="8" t="s">
        <v>704</v>
      </c>
      <c r="F222" s="8" t="s">
        <v>25</v>
      </c>
      <c r="G222" s="8"/>
      <c r="H222" s="8"/>
      <c r="I222" s="8" t="s">
        <v>5</v>
      </c>
      <c r="J222" s="8"/>
    </row>
    <row r="223" customFormat="false" ht="43.25" hidden="false" customHeight="false" outlineLevel="0" collapsed="false">
      <c r="A223" s="8" t="s">
        <v>705</v>
      </c>
      <c r="B223" s="8" t="s">
        <v>706</v>
      </c>
      <c r="C223" s="8" t="s">
        <v>707</v>
      </c>
      <c r="D223" s="8" t="s">
        <v>39</v>
      </c>
      <c r="E223" s="8" t="s">
        <v>708</v>
      </c>
      <c r="F223" s="8" t="s">
        <v>26</v>
      </c>
      <c r="G223" s="8"/>
      <c r="H223" s="8"/>
      <c r="I223" s="8" t="s">
        <v>5</v>
      </c>
      <c r="J223" s="8"/>
    </row>
    <row r="224" customFormat="false" ht="32.8" hidden="false" customHeight="false" outlineLevel="0" collapsed="false">
      <c r="A224" s="8" t="s">
        <v>709</v>
      </c>
      <c r="B224" s="8" t="s">
        <v>706</v>
      </c>
      <c r="C224" s="8" t="s">
        <v>710</v>
      </c>
      <c r="D224" s="8" t="s">
        <v>39</v>
      </c>
      <c r="E224" s="8" t="s">
        <v>711</v>
      </c>
      <c r="F224" s="8" t="s">
        <v>26</v>
      </c>
      <c r="G224" s="8"/>
      <c r="H224" s="8"/>
      <c r="I224" s="8" t="s">
        <v>5</v>
      </c>
      <c r="J224" s="8"/>
    </row>
    <row r="225" customFormat="false" ht="43.25" hidden="false" customHeight="false" outlineLevel="0" collapsed="false">
      <c r="A225" s="8" t="s">
        <v>712</v>
      </c>
      <c r="B225" s="8" t="s">
        <v>706</v>
      </c>
      <c r="C225" s="8" t="s">
        <v>713</v>
      </c>
      <c r="D225" s="8" t="s">
        <v>39</v>
      </c>
      <c r="E225" s="8" t="s">
        <v>714</v>
      </c>
      <c r="F225" s="8" t="s">
        <v>26</v>
      </c>
      <c r="G225" s="8"/>
      <c r="H225" s="8"/>
      <c r="I225" s="8" t="s">
        <v>5</v>
      </c>
      <c r="J225" s="8"/>
    </row>
    <row r="226" customFormat="false" ht="32.8" hidden="false" customHeight="false" outlineLevel="0" collapsed="false">
      <c r="A226" s="8" t="s">
        <v>715</v>
      </c>
      <c r="B226" s="8" t="s">
        <v>706</v>
      </c>
      <c r="C226" s="8" t="s">
        <v>716</v>
      </c>
      <c r="D226" s="8" t="s">
        <v>39</v>
      </c>
      <c r="E226" s="8" t="s">
        <v>717</v>
      </c>
      <c r="F226" s="8" t="s">
        <v>26</v>
      </c>
      <c r="G226" s="8"/>
      <c r="H226" s="8"/>
      <c r="I226" s="8" t="s">
        <v>5</v>
      </c>
      <c r="J226" s="8"/>
    </row>
    <row r="227" customFormat="false" ht="32.8" hidden="false" customHeight="false" outlineLevel="0" collapsed="false">
      <c r="A227" s="8" t="s">
        <v>718</v>
      </c>
      <c r="B227" s="8" t="s">
        <v>706</v>
      </c>
      <c r="C227" s="8" t="s">
        <v>719</v>
      </c>
      <c r="D227" s="8" t="s">
        <v>39</v>
      </c>
      <c r="E227" s="8" t="s">
        <v>720</v>
      </c>
      <c r="F227" s="8" t="s">
        <v>26</v>
      </c>
      <c r="G227" s="8"/>
      <c r="H227" s="8"/>
      <c r="I227" s="8" t="s">
        <v>5</v>
      </c>
      <c r="J227" s="8"/>
    </row>
    <row r="228" customFormat="false" ht="32.8" hidden="false" customHeight="false" outlineLevel="0" collapsed="false">
      <c r="A228" s="8" t="s">
        <v>721</v>
      </c>
      <c r="B228" s="8" t="s">
        <v>706</v>
      </c>
      <c r="C228" s="8" t="s">
        <v>722</v>
      </c>
      <c r="D228" s="8" t="s">
        <v>39</v>
      </c>
      <c r="E228" s="8" t="s">
        <v>723</v>
      </c>
      <c r="F228" s="8" t="s">
        <v>26</v>
      </c>
      <c r="G228" s="8"/>
      <c r="H228" s="8"/>
      <c r="I228" s="8" t="s">
        <v>5</v>
      </c>
      <c r="J228" s="8"/>
    </row>
    <row r="229" customFormat="false" ht="32.8" hidden="false" customHeight="false" outlineLevel="0" collapsed="false">
      <c r="A229" s="8" t="s">
        <v>724</v>
      </c>
      <c r="B229" s="8" t="s">
        <v>706</v>
      </c>
      <c r="C229" s="8" t="s">
        <v>725</v>
      </c>
      <c r="D229" s="8" t="s">
        <v>39</v>
      </c>
      <c r="E229" s="8" t="s">
        <v>726</v>
      </c>
      <c r="F229" s="8" t="s">
        <v>26</v>
      </c>
      <c r="G229" s="8"/>
      <c r="H229" s="8"/>
      <c r="I229" s="8" t="s">
        <v>5</v>
      </c>
      <c r="J229" s="8"/>
    </row>
    <row r="230" customFormat="false" ht="32.8" hidden="false" customHeight="false" outlineLevel="0" collapsed="false">
      <c r="A230" s="8" t="s">
        <v>727</v>
      </c>
      <c r="B230" s="8" t="s">
        <v>706</v>
      </c>
      <c r="C230" s="8" t="s">
        <v>728</v>
      </c>
      <c r="D230" s="8" t="s">
        <v>39</v>
      </c>
      <c r="E230" s="8" t="s">
        <v>729</v>
      </c>
      <c r="F230" s="8" t="s">
        <v>26</v>
      </c>
      <c r="G230" s="8"/>
      <c r="H230" s="8"/>
      <c r="I230" s="8" t="s">
        <v>5</v>
      </c>
      <c r="J230" s="8"/>
    </row>
    <row r="231" customFormat="false" ht="32.8" hidden="false" customHeight="false" outlineLevel="0" collapsed="false">
      <c r="A231" s="8" t="s">
        <v>730</v>
      </c>
      <c r="B231" s="8" t="s">
        <v>706</v>
      </c>
      <c r="C231" s="8" t="s">
        <v>731</v>
      </c>
      <c r="D231" s="8" t="s">
        <v>39</v>
      </c>
      <c r="E231" s="8" t="s">
        <v>732</v>
      </c>
      <c r="F231" s="8" t="s">
        <v>26</v>
      </c>
      <c r="G231" s="8"/>
      <c r="H231" s="8"/>
      <c r="I231" s="8" t="s">
        <v>5</v>
      </c>
      <c r="J231" s="8"/>
    </row>
    <row r="232" customFormat="false" ht="32.8" hidden="false" customHeight="false" outlineLevel="0" collapsed="false">
      <c r="A232" s="8" t="s">
        <v>733</v>
      </c>
      <c r="B232" s="8" t="s">
        <v>706</v>
      </c>
      <c r="C232" s="8" t="s">
        <v>734</v>
      </c>
      <c r="D232" s="8" t="s">
        <v>39</v>
      </c>
      <c r="E232" s="8" t="s">
        <v>735</v>
      </c>
      <c r="F232" s="8" t="s">
        <v>26</v>
      </c>
      <c r="G232" s="8"/>
      <c r="H232" s="8"/>
      <c r="I232" s="8" t="s">
        <v>5</v>
      </c>
      <c r="J232" s="8"/>
    </row>
    <row r="233" customFormat="false" ht="32.8" hidden="false" customHeight="false" outlineLevel="0" collapsed="false">
      <c r="A233" s="8" t="s">
        <v>736</v>
      </c>
      <c r="B233" s="8" t="s">
        <v>706</v>
      </c>
      <c r="C233" s="8" t="s">
        <v>737</v>
      </c>
      <c r="D233" s="8" t="s">
        <v>39</v>
      </c>
      <c r="E233" s="8" t="s">
        <v>738</v>
      </c>
      <c r="F233" s="8" t="s">
        <v>26</v>
      </c>
      <c r="G233" s="8"/>
      <c r="H233" s="8"/>
      <c r="I233" s="8" t="s">
        <v>5</v>
      </c>
      <c r="J233" s="8"/>
    </row>
    <row r="234" customFormat="false" ht="43.25" hidden="false" customHeight="false" outlineLevel="0" collapsed="false">
      <c r="A234" s="8" t="s">
        <v>739</v>
      </c>
      <c r="B234" s="8" t="s">
        <v>706</v>
      </c>
      <c r="C234" s="8" t="s">
        <v>740</v>
      </c>
      <c r="D234" s="8" t="s">
        <v>39</v>
      </c>
      <c r="E234" s="8" t="s">
        <v>741</v>
      </c>
      <c r="F234" s="8" t="s">
        <v>26</v>
      </c>
      <c r="G234" s="8"/>
      <c r="H234" s="8"/>
      <c r="I234" s="8" t="s">
        <v>5</v>
      </c>
      <c r="J234" s="8"/>
    </row>
    <row r="235" customFormat="false" ht="32.8" hidden="false" customHeight="false" outlineLevel="0" collapsed="false">
      <c r="A235" s="8" t="s">
        <v>742</v>
      </c>
      <c r="B235" s="8" t="s">
        <v>706</v>
      </c>
      <c r="C235" s="8" t="s">
        <v>743</v>
      </c>
      <c r="D235" s="8" t="s">
        <v>39</v>
      </c>
      <c r="E235" s="8" t="s">
        <v>744</v>
      </c>
      <c r="F235" s="8" t="s">
        <v>26</v>
      </c>
      <c r="G235" s="8"/>
      <c r="H235" s="8"/>
      <c r="I235" s="8" t="s">
        <v>5</v>
      </c>
      <c r="J235" s="8"/>
    </row>
    <row r="236" customFormat="false" ht="22.35" hidden="false" customHeight="false" outlineLevel="0" collapsed="false">
      <c r="A236" s="8" t="s">
        <v>745</v>
      </c>
      <c r="B236" s="8" t="s">
        <v>706</v>
      </c>
      <c r="C236" s="8" t="s">
        <v>746</v>
      </c>
      <c r="D236" s="8" t="s">
        <v>39</v>
      </c>
      <c r="E236" s="8" t="s">
        <v>747</v>
      </c>
      <c r="F236" s="8" t="s">
        <v>26</v>
      </c>
      <c r="G236" s="8"/>
      <c r="H236" s="8"/>
      <c r="I236" s="8" t="s">
        <v>5</v>
      </c>
      <c r="J236" s="8"/>
    </row>
    <row r="237" customFormat="false" ht="43.25" hidden="false" customHeight="false" outlineLevel="0" collapsed="false">
      <c r="A237" s="8" t="s">
        <v>748</v>
      </c>
      <c r="B237" s="8" t="s">
        <v>706</v>
      </c>
      <c r="C237" s="8" t="s">
        <v>749</v>
      </c>
      <c r="D237" s="8" t="s">
        <v>39</v>
      </c>
      <c r="E237" s="8" t="s">
        <v>750</v>
      </c>
      <c r="F237" s="8" t="s">
        <v>26</v>
      </c>
      <c r="G237" s="8"/>
      <c r="H237" s="8"/>
      <c r="I237" s="8" t="s">
        <v>5</v>
      </c>
      <c r="J237" s="8"/>
    </row>
    <row r="238" customFormat="false" ht="43.25" hidden="false" customHeight="false" outlineLevel="0" collapsed="false">
      <c r="A238" s="8" t="s">
        <v>751</v>
      </c>
      <c r="B238" s="8" t="s">
        <v>706</v>
      </c>
      <c r="C238" s="8" t="s">
        <v>752</v>
      </c>
      <c r="D238" s="8" t="s">
        <v>39</v>
      </c>
      <c r="E238" s="8" t="s">
        <v>753</v>
      </c>
      <c r="F238" s="8" t="s">
        <v>26</v>
      </c>
      <c r="G238" s="8"/>
      <c r="H238" s="8"/>
      <c r="I238" s="8" t="s">
        <v>5</v>
      </c>
      <c r="J238" s="8"/>
    </row>
    <row r="239" customFormat="false" ht="22.35" hidden="false" customHeight="false" outlineLevel="0" collapsed="false">
      <c r="A239" s="8" t="s">
        <v>754</v>
      </c>
      <c r="B239" s="8" t="s">
        <v>706</v>
      </c>
      <c r="C239" s="8" t="s">
        <v>755</v>
      </c>
      <c r="D239" s="8" t="s">
        <v>39</v>
      </c>
      <c r="E239" s="8" t="s">
        <v>756</v>
      </c>
      <c r="F239" s="8" t="s">
        <v>26</v>
      </c>
      <c r="G239" s="8"/>
      <c r="H239" s="8"/>
      <c r="I239" s="8" t="s">
        <v>5</v>
      </c>
      <c r="J239" s="8"/>
    </row>
    <row r="240" customFormat="false" ht="43.25" hidden="false" customHeight="false" outlineLevel="0" collapsed="false">
      <c r="A240" s="8" t="s">
        <v>757</v>
      </c>
      <c r="B240" s="8" t="s">
        <v>706</v>
      </c>
      <c r="C240" s="8" t="s">
        <v>758</v>
      </c>
      <c r="D240" s="8" t="s">
        <v>39</v>
      </c>
      <c r="E240" s="8" t="s">
        <v>759</v>
      </c>
      <c r="F240" s="8" t="s">
        <v>26</v>
      </c>
      <c r="G240" s="8"/>
      <c r="H240" s="8"/>
      <c r="I240" s="8" t="s">
        <v>5</v>
      </c>
      <c r="J240" s="8"/>
    </row>
    <row r="241" customFormat="false" ht="32.8" hidden="false" customHeight="false" outlineLevel="0" collapsed="false">
      <c r="A241" s="8" t="s">
        <v>760</v>
      </c>
      <c r="B241" s="8" t="s">
        <v>706</v>
      </c>
      <c r="C241" s="8" t="s">
        <v>761</v>
      </c>
      <c r="D241" s="8" t="s">
        <v>39</v>
      </c>
      <c r="E241" s="8" t="s">
        <v>762</v>
      </c>
      <c r="F241" s="8" t="s">
        <v>26</v>
      </c>
      <c r="G241" s="8"/>
      <c r="H241" s="8"/>
      <c r="I241" s="8" t="s">
        <v>5</v>
      </c>
      <c r="J241" s="8"/>
    </row>
    <row r="242" customFormat="false" ht="32.8" hidden="false" customHeight="false" outlineLevel="0" collapsed="false">
      <c r="A242" s="8" t="s">
        <v>763</v>
      </c>
      <c r="B242" s="8" t="s">
        <v>706</v>
      </c>
      <c r="C242" s="8" t="s">
        <v>764</v>
      </c>
      <c r="D242" s="8" t="s">
        <v>39</v>
      </c>
      <c r="E242" s="8" t="s">
        <v>765</v>
      </c>
      <c r="F242" s="8" t="s">
        <v>26</v>
      </c>
      <c r="G242" s="8"/>
      <c r="H242" s="8"/>
      <c r="I242" s="8" t="s">
        <v>5</v>
      </c>
      <c r="J242" s="8"/>
    </row>
    <row r="243" customFormat="false" ht="22.35" hidden="false" customHeight="false" outlineLevel="0" collapsed="false">
      <c r="A243" s="8" t="s">
        <v>766</v>
      </c>
      <c r="B243" s="8" t="s">
        <v>706</v>
      </c>
      <c r="C243" s="8" t="s">
        <v>767</v>
      </c>
      <c r="D243" s="8" t="s">
        <v>39</v>
      </c>
      <c r="E243" s="8" t="s">
        <v>768</v>
      </c>
      <c r="F243" s="8" t="s">
        <v>26</v>
      </c>
      <c r="G243" s="8"/>
      <c r="H243" s="8"/>
      <c r="I243" s="8" t="s">
        <v>5</v>
      </c>
      <c r="J243" s="8"/>
    </row>
    <row r="244" customFormat="false" ht="22.35" hidden="false" customHeight="false" outlineLevel="0" collapsed="false">
      <c r="A244" s="8" t="s">
        <v>769</v>
      </c>
      <c r="B244" s="8" t="s">
        <v>706</v>
      </c>
      <c r="C244" s="8" t="s">
        <v>770</v>
      </c>
      <c r="D244" s="8" t="s">
        <v>39</v>
      </c>
      <c r="E244" s="8" t="s">
        <v>771</v>
      </c>
      <c r="F244" s="8" t="s">
        <v>26</v>
      </c>
      <c r="G244" s="8"/>
      <c r="H244" s="8"/>
      <c r="I244" s="8" t="s">
        <v>5</v>
      </c>
      <c r="J244" s="8"/>
    </row>
    <row r="245" customFormat="false" ht="32.8" hidden="false" customHeight="false" outlineLevel="0" collapsed="false">
      <c r="A245" s="8" t="s">
        <v>772</v>
      </c>
      <c r="B245" s="8" t="s">
        <v>706</v>
      </c>
      <c r="C245" s="8" t="s">
        <v>773</v>
      </c>
      <c r="D245" s="8" t="s">
        <v>39</v>
      </c>
      <c r="E245" s="8" t="s">
        <v>774</v>
      </c>
      <c r="F245" s="8" t="s">
        <v>26</v>
      </c>
      <c r="G245" s="8"/>
      <c r="H245" s="8"/>
      <c r="I245" s="8" t="s">
        <v>5</v>
      </c>
      <c r="J245" s="8"/>
    </row>
    <row r="246" customFormat="false" ht="22.35" hidden="false" customHeight="false" outlineLevel="0" collapsed="false">
      <c r="A246" s="8" t="s">
        <v>775</v>
      </c>
      <c r="B246" s="8" t="s">
        <v>706</v>
      </c>
      <c r="C246" s="8" t="s">
        <v>776</v>
      </c>
      <c r="D246" s="8" t="s">
        <v>39</v>
      </c>
      <c r="E246" s="8" t="s">
        <v>777</v>
      </c>
      <c r="F246" s="8" t="s">
        <v>26</v>
      </c>
      <c r="G246" s="8"/>
      <c r="H246" s="8"/>
      <c r="I246" s="8" t="s">
        <v>5</v>
      </c>
      <c r="J246" s="8"/>
    </row>
    <row r="247" customFormat="false" ht="22.35" hidden="false" customHeight="false" outlineLevel="0" collapsed="false">
      <c r="A247" s="8" t="s">
        <v>778</v>
      </c>
      <c r="B247" s="8" t="s">
        <v>706</v>
      </c>
      <c r="C247" s="8" t="s">
        <v>779</v>
      </c>
      <c r="D247" s="8" t="s">
        <v>39</v>
      </c>
      <c r="E247" s="8" t="s">
        <v>780</v>
      </c>
      <c r="F247" s="8" t="s">
        <v>26</v>
      </c>
      <c r="G247" s="8"/>
      <c r="H247" s="8"/>
      <c r="I247" s="8" t="s">
        <v>5</v>
      </c>
      <c r="J247" s="8"/>
    </row>
    <row r="248" customFormat="false" ht="22.35" hidden="false" customHeight="false" outlineLevel="0" collapsed="false">
      <c r="A248" s="8" t="s">
        <v>781</v>
      </c>
      <c r="B248" s="8" t="s">
        <v>706</v>
      </c>
      <c r="C248" s="8" t="s">
        <v>782</v>
      </c>
      <c r="D248" s="8" t="s">
        <v>39</v>
      </c>
      <c r="E248" s="8" t="s">
        <v>783</v>
      </c>
      <c r="F248" s="8" t="s">
        <v>26</v>
      </c>
      <c r="G248" s="8"/>
      <c r="H248" s="8"/>
      <c r="I248" s="8" t="s">
        <v>5</v>
      </c>
      <c r="J248" s="8"/>
    </row>
    <row r="249" customFormat="false" ht="32.8" hidden="false" customHeight="false" outlineLevel="0" collapsed="false">
      <c r="A249" s="8" t="s">
        <v>784</v>
      </c>
      <c r="B249" s="8" t="s">
        <v>706</v>
      </c>
      <c r="C249" s="8" t="s">
        <v>785</v>
      </c>
      <c r="D249" s="8" t="s">
        <v>39</v>
      </c>
      <c r="E249" s="8" t="s">
        <v>786</v>
      </c>
      <c r="F249" s="8" t="s">
        <v>26</v>
      </c>
      <c r="G249" s="8"/>
      <c r="H249" s="8"/>
      <c r="I249" s="8" t="s">
        <v>5</v>
      </c>
      <c r="J249" s="8"/>
    </row>
    <row r="250" customFormat="false" ht="32.8" hidden="false" customHeight="false" outlineLevel="0" collapsed="false">
      <c r="A250" s="8" t="s">
        <v>787</v>
      </c>
      <c r="B250" s="8" t="s">
        <v>706</v>
      </c>
      <c r="C250" s="8" t="s">
        <v>788</v>
      </c>
      <c r="D250" s="8" t="s">
        <v>39</v>
      </c>
      <c r="E250" s="8" t="s">
        <v>789</v>
      </c>
      <c r="F250" s="8" t="s">
        <v>26</v>
      </c>
      <c r="G250" s="8"/>
      <c r="H250" s="8"/>
      <c r="I250" s="8" t="s">
        <v>5</v>
      </c>
      <c r="J250" s="8"/>
    </row>
  </sheetData>
  <autoFilter ref="A1:J250"/>
  <dataValidations count="1">
    <dataValidation allowBlank="true" errorStyle="stop" operator="between" showDropDown="false" showErrorMessage="false" showInputMessage="false" sqref="I2:I250" type="list">
      <formula1>"Not started,Designed,Implemented,Passed,Failed,Blocked"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8"/>
    <col collapsed="false" customWidth="true" hidden="false" outlineLevel="0" max="4" min="4" style="0" width="60"/>
    <col collapsed="false" customWidth="true" hidden="false" outlineLevel="0" max="5" min="5" style="0" width="8"/>
    <col collapsed="false" customWidth="true" hidden="false" outlineLevel="0" max="6" min="6" style="0" width="11"/>
    <col collapsed="false" customWidth="true" hidden="false" outlineLevel="0" max="7" min="7" style="0" width="55"/>
    <col collapsed="false" customWidth="true" hidden="false" outlineLevel="0" max="8" min="8" style="0" width="22"/>
    <col collapsed="false" customWidth="true" hidden="false" outlineLevel="0" max="9" min="9" style="0" width="18"/>
    <col collapsed="false" customWidth="true" hidden="false" outlineLevel="0" max="10" min="10" style="0" width="14"/>
    <col collapsed="false" customWidth="true" hidden="false" outlineLevel="0" max="11" min="11" style="0" width="10"/>
    <col collapsed="false" customWidth="true" hidden="false" outlineLevel="0" max="12" min="12" style="0" width="13"/>
    <col collapsed="false" customWidth="true" hidden="false" outlineLevel="0" max="13" min="13" style="0" width="40"/>
  </cols>
  <sheetData>
    <row r="1" customFormat="false" ht="31.5" hidden="false" customHeight="true" outlineLevel="0" collapsed="false">
      <c r="A1" s="7" t="s">
        <v>27</v>
      </c>
      <c r="B1" s="7" t="s">
        <v>790</v>
      </c>
      <c r="C1" s="7" t="s">
        <v>28</v>
      </c>
      <c r="D1" s="7" t="s">
        <v>791</v>
      </c>
      <c r="E1" s="7" t="s">
        <v>792</v>
      </c>
      <c r="F1" s="7" t="s">
        <v>793</v>
      </c>
      <c r="G1" s="7" t="s">
        <v>794</v>
      </c>
      <c r="H1" s="7" t="s">
        <v>795</v>
      </c>
      <c r="I1" s="7" t="s">
        <v>796</v>
      </c>
      <c r="J1" s="7" t="s">
        <v>797</v>
      </c>
      <c r="K1" s="7" t="s">
        <v>33</v>
      </c>
      <c r="L1" s="7" t="s">
        <v>34</v>
      </c>
      <c r="M1" s="7" t="s">
        <v>35</v>
      </c>
    </row>
    <row r="2" customFormat="false" ht="43.25" hidden="false" customHeight="false" outlineLevel="0" collapsed="false">
      <c r="A2" s="8" t="s">
        <v>798</v>
      </c>
      <c r="B2" s="8" t="s">
        <v>799</v>
      </c>
      <c r="C2" s="8" t="s">
        <v>800</v>
      </c>
      <c r="D2" s="8" t="s">
        <v>801</v>
      </c>
      <c r="E2" s="8" t="s">
        <v>802</v>
      </c>
      <c r="F2" s="8" t="s">
        <v>803</v>
      </c>
      <c r="G2" s="8" t="s">
        <v>804</v>
      </c>
      <c r="H2" s="8" t="s">
        <v>805</v>
      </c>
      <c r="I2" s="8"/>
      <c r="J2" s="8" t="s">
        <v>806</v>
      </c>
      <c r="K2" s="8" t="s">
        <v>807</v>
      </c>
      <c r="L2" s="8" t="s">
        <v>5</v>
      </c>
      <c r="M2" s="8"/>
    </row>
    <row r="3" customFormat="false" ht="64.15" hidden="false" customHeight="false" outlineLevel="0" collapsed="false">
      <c r="A3" s="8" t="s">
        <v>808</v>
      </c>
      <c r="B3" s="8" t="s">
        <v>809</v>
      </c>
      <c r="C3" s="8" t="s">
        <v>810</v>
      </c>
      <c r="D3" s="8" t="s">
        <v>811</v>
      </c>
      <c r="E3" s="8" t="s">
        <v>802</v>
      </c>
      <c r="F3" s="8" t="s">
        <v>803</v>
      </c>
      <c r="G3" s="8" t="s">
        <v>812</v>
      </c>
      <c r="H3" s="8" t="s">
        <v>813</v>
      </c>
      <c r="I3" s="8"/>
      <c r="J3" s="8" t="s">
        <v>814</v>
      </c>
      <c r="K3" s="8" t="s">
        <v>807</v>
      </c>
      <c r="L3" s="8" t="s">
        <v>5</v>
      </c>
      <c r="M3" s="8"/>
    </row>
    <row r="4" customFormat="false" ht="53.7" hidden="false" customHeight="false" outlineLevel="0" collapsed="false">
      <c r="A4" s="8" t="s">
        <v>815</v>
      </c>
      <c r="B4" s="8" t="s">
        <v>816</v>
      </c>
      <c r="C4" s="8" t="s">
        <v>810</v>
      </c>
      <c r="D4" s="8" t="s">
        <v>817</v>
      </c>
      <c r="E4" s="8" t="s">
        <v>802</v>
      </c>
      <c r="F4" s="8" t="s">
        <v>803</v>
      </c>
      <c r="G4" s="8" t="s">
        <v>818</v>
      </c>
      <c r="H4" s="8"/>
      <c r="I4" s="8"/>
      <c r="J4" s="8"/>
      <c r="K4" s="8" t="s">
        <v>807</v>
      </c>
      <c r="L4" s="8" t="s">
        <v>5</v>
      </c>
      <c r="M4" s="8" t="s">
        <v>819</v>
      </c>
    </row>
    <row r="5" customFormat="false" ht="53.7" hidden="false" customHeight="false" outlineLevel="0" collapsed="false">
      <c r="A5" s="8" t="s">
        <v>820</v>
      </c>
      <c r="B5" s="8" t="s">
        <v>821</v>
      </c>
      <c r="C5" s="8" t="s">
        <v>810</v>
      </c>
      <c r="D5" s="8" t="s">
        <v>822</v>
      </c>
      <c r="E5" s="8" t="s">
        <v>802</v>
      </c>
      <c r="F5" s="8" t="s">
        <v>803</v>
      </c>
      <c r="G5" s="8" t="s">
        <v>823</v>
      </c>
      <c r="H5" s="8" t="s">
        <v>824</v>
      </c>
      <c r="I5" s="8"/>
      <c r="J5" s="8" t="s">
        <v>825</v>
      </c>
      <c r="K5" s="8" t="s">
        <v>807</v>
      </c>
      <c r="L5" s="8" t="s">
        <v>5</v>
      </c>
      <c r="M5" s="8"/>
    </row>
    <row r="6" customFormat="false" ht="53.7" hidden="false" customHeight="false" outlineLevel="0" collapsed="false">
      <c r="A6" s="8" t="s">
        <v>826</v>
      </c>
      <c r="B6" s="8" t="s">
        <v>827</v>
      </c>
      <c r="C6" s="8" t="s">
        <v>810</v>
      </c>
      <c r="D6" s="8" t="s">
        <v>828</v>
      </c>
      <c r="E6" s="8" t="s">
        <v>802</v>
      </c>
      <c r="F6" s="8" t="s">
        <v>803</v>
      </c>
      <c r="G6" s="8" t="s">
        <v>829</v>
      </c>
      <c r="H6" s="8" t="s">
        <v>830</v>
      </c>
      <c r="I6" s="8"/>
      <c r="J6" s="8" t="s">
        <v>831</v>
      </c>
      <c r="K6" s="8" t="s">
        <v>807</v>
      </c>
      <c r="L6" s="8" t="s">
        <v>5</v>
      </c>
      <c r="M6" s="8"/>
    </row>
    <row r="7" customFormat="false" ht="64.15" hidden="false" customHeight="false" outlineLevel="0" collapsed="false">
      <c r="A7" s="8" t="s">
        <v>832</v>
      </c>
      <c r="B7" s="8" t="s">
        <v>833</v>
      </c>
      <c r="C7" s="8" t="s">
        <v>834</v>
      </c>
      <c r="D7" s="8" t="s">
        <v>835</v>
      </c>
      <c r="E7" s="8" t="s">
        <v>802</v>
      </c>
      <c r="F7" s="8" t="s">
        <v>803</v>
      </c>
      <c r="G7" s="8" t="s">
        <v>836</v>
      </c>
      <c r="H7" s="8" t="s">
        <v>837</v>
      </c>
      <c r="I7" s="8"/>
      <c r="J7" s="8" t="s">
        <v>838</v>
      </c>
      <c r="K7" s="8" t="s">
        <v>807</v>
      </c>
      <c r="L7" s="8" t="s">
        <v>5</v>
      </c>
      <c r="M7" s="8"/>
    </row>
    <row r="8" customFormat="false" ht="43.25" hidden="false" customHeight="false" outlineLevel="0" collapsed="false">
      <c r="A8" s="8" t="s">
        <v>839</v>
      </c>
      <c r="B8" s="8" t="s">
        <v>840</v>
      </c>
      <c r="C8" s="8" t="s">
        <v>834</v>
      </c>
      <c r="D8" s="8" t="s">
        <v>841</v>
      </c>
      <c r="E8" s="8" t="s">
        <v>802</v>
      </c>
      <c r="F8" s="8" t="s">
        <v>803</v>
      </c>
      <c r="G8" s="8" t="s">
        <v>842</v>
      </c>
      <c r="H8" s="8" t="s">
        <v>843</v>
      </c>
      <c r="I8" s="8"/>
      <c r="J8" s="8" t="s">
        <v>844</v>
      </c>
      <c r="K8" s="8" t="s">
        <v>807</v>
      </c>
      <c r="L8" s="8" t="s">
        <v>5</v>
      </c>
      <c r="M8" s="8"/>
    </row>
    <row r="9" customFormat="false" ht="43.25" hidden="false" customHeight="false" outlineLevel="0" collapsed="false">
      <c r="A9" s="8" t="s">
        <v>845</v>
      </c>
      <c r="B9" s="8" t="s">
        <v>846</v>
      </c>
      <c r="C9" s="8" t="s">
        <v>834</v>
      </c>
      <c r="D9" s="8" t="s">
        <v>847</v>
      </c>
      <c r="E9" s="8" t="s">
        <v>802</v>
      </c>
      <c r="F9" s="8" t="s">
        <v>803</v>
      </c>
      <c r="G9" s="8" t="s">
        <v>848</v>
      </c>
      <c r="H9" s="8" t="s">
        <v>849</v>
      </c>
      <c r="I9" s="8"/>
      <c r="J9" s="8" t="s">
        <v>850</v>
      </c>
      <c r="K9" s="8" t="s">
        <v>807</v>
      </c>
      <c r="L9" s="8" t="s">
        <v>5</v>
      </c>
      <c r="M9" s="8"/>
    </row>
    <row r="10" customFormat="false" ht="64.15" hidden="false" customHeight="false" outlineLevel="0" collapsed="false">
      <c r="A10" s="8" t="s">
        <v>851</v>
      </c>
      <c r="B10" s="8" t="s">
        <v>852</v>
      </c>
      <c r="C10" s="8" t="s">
        <v>834</v>
      </c>
      <c r="D10" s="8" t="s">
        <v>853</v>
      </c>
      <c r="E10" s="8" t="s">
        <v>802</v>
      </c>
      <c r="F10" s="8" t="s">
        <v>803</v>
      </c>
      <c r="G10" s="8" t="s">
        <v>854</v>
      </c>
      <c r="H10" s="8" t="s">
        <v>855</v>
      </c>
      <c r="I10" s="8"/>
      <c r="J10" s="8" t="s">
        <v>856</v>
      </c>
      <c r="K10" s="8" t="s">
        <v>807</v>
      </c>
      <c r="L10" s="8" t="s">
        <v>5</v>
      </c>
      <c r="M10" s="8"/>
    </row>
    <row r="11" customFormat="false" ht="53.7" hidden="false" customHeight="false" outlineLevel="0" collapsed="false">
      <c r="A11" s="8" t="s">
        <v>857</v>
      </c>
      <c r="B11" s="8" t="s">
        <v>858</v>
      </c>
      <c r="C11" s="8" t="s">
        <v>834</v>
      </c>
      <c r="D11" s="8" t="s">
        <v>859</v>
      </c>
      <c r="E11" s="8" t="s">
        <v>802</v>
      </c>
      <c r="F11" s="8" t="s">
        <v>803</v>
      </c>
      <c r="G11" s="8" t="s">
        <v>860</v>
      </c>
      <c r="H11" s="8" t="s">
        <v>861</v>
      </c>
      <c r="I11" s="8"/>
      <c r="J11" s="8" t="s">
        <v>862</v>
      </c>
      <c r="K11" s="8" t="s">
        <v>807</v>
      </c>
      <c r="L11" s="8" t="s">
        <v>5</v>
      </c>
      <c r="M11" s="8"/>
    </row>
    <row r="12" customFormat="false" ht="43.25" hidden="false" customHeight="false" outlineLevel="0" collapsed="false">
      <c r="A12" s="8" t="s">
        <v>863</v>
      </c>
      <c r="B12" s="8" t="s">
        <v>864</v>
      </c>
      <c r="C12" s="8" t="s">
        <v>834</v>
      </c>
      <c r="D12" s="8" t="s">
        <v>865</v>
      </c>
      <c r="E12" s="8" t="s">
        <v>802</v>
      </c>
      <c r="F12" s="8" t="s">
        <v>803</v>
      </c>
      <c r="G12" s="8" t="s">
        <v>866</v>
      </c>
      <c r="H12" s="8" t="s">
        <v>867</v>
      </c>
      <c r="I12" s="8"/>
      <c r="J12" s="8" t="s">
        <v>868</v>
      </c>
      <c r="K12" s="8" t="s">
        <v>807</v>
      </c>
      <c r="L12" s="8" t="s">
        <v>5</v>
      </c>
      <c r="M12" s="8"/>
    </row>
    <row r="13" customFormat="false" ht="53.7" hidden="false" customHeight="false" outlineLevel="0" collapsed="false">
      <c r="A13" s="8" t="s">
        <v>869</v>
      </c>
      <c r="B13" s="8" t="s">
        <v>870</v>
      </c>
      <c r="C13" s="8" t="s">
        <v>834</v>
      </c>
      <c r="D13" s="8" t="s">
        <v>871</v>
      </c>
      <c r="E13" s="8" t="s">
        <v>802</v>
      </c>
      <c r="F13" s="8" t="s">
        <v>803</v>
      </c>
      <c r="G13" s="8" t="s">
        <v>872</v>
      </c>
      <c r="H13" s="8" t="s">
        <v>873</v>
      </c>
      <c r="I13" s="8"/>
      <c r="J13" s="8" t="s">
        <v>874</v>
      </c>
      <c r="K13" s="8" t="s">
        <v>807</v>
      </c>
      <c r="L13" s="8" t="s">
        <v>5</v>
      </c>
      <c r="M13" s="8"/>
    </row>
    <row r="14" customFormat="false" ht="43.25" hidden="false" customHeight="false" outlineLevel="0" collapsed="false">
      <c r="A14" s="8" t="s">
        <v>875</v>
      </c>
      <c r="B14" s="8" t="s">
        <v>876</v>
      </c>
      <c r="C14" s="8" t="s">
        <v>834</v>
      </c>
      <c r="D14" s="8" t="s">
        <v>877</v>
      </c>
      <c r="E14" s="8" t="s">
        <v>802</v>
      </c>
      <c r="F14" s="8" t="s">
        <v>803</v>
      </c>
      <c r="G14" s="8" t="s">
        <v>878</v>
      </c>
      <c r="H14" s="8" t="s">
        <v>879</v>
      </c>
      <c r="I14" s="8"/>
      <c r="J14" s="8" t="s">
        <v>880</v>
      </c>
      <c r="K14" s="8" t="s">
        <v>807</v>
      </c>
      <c r="L14" s="8" t="s">
        <v>5</v>
      </c>
      <c r="M14" s="8"/>
    </row>
    <row r="15" customFormat="false" ht="64.15" hidden="false" customHeight="false" outlineLevel="0" collapsed="false">
      <c r="A15" s="8" t="s">
        <v>881</v>
      </c>
      <c r="B15" s="8" t="s">
        <v>882</v>
      </c>
      <c r="C15" s="8" t="s">
        <v>834</v>
      </c>
      <c r="D15" s="8" t="s">
        <v>883</v>
      </c>
      <c r="E15" s="8" t="s">
        <v>802</v>
      </c>
      <c r="F15" s="8" t="s">
        <v>803</v>
      </c>
      <c r="G15" s="8" t="s">
        <v>884</v>
      </c>
      <c r="H15" s="8" t="s">
        <v>885</v>
      </c>
      <c r="I15" s="8"/>
      <c r="J15" s="8" t="s">
        <v>886</v>
      </c>
      <c r="K15" s="8" t="s">
        <v>807</v>
      </c>
      <c r="L15" s="8" t="s">
        <v>5</v>
      </c>
      <c r="M15" s="8"/>
    </row>
    <row r="16" customFormat="false" ht="64.15" hidden="false" customHeight="false" outlineLevel="0" collapsed="false">
      <c r="A16" s="8" t="s">
        <v>887</v>
      </c>
      <c r="B16" s="8" t="s">
        <v>888</v>
      </c>
      <c r="C16" s="8" t="s">
        <v>889</v>
      </c>
      <c r="D16" s="8" t="s">
        <v>890</v>
      </c>
      <c r="E16" s="8" t="s">
        <v>802</v>
      </c>
      <c r="F16" s="8" t="s">
        <v>803</v>
      </c>
      <c r="G16" s="8" t="s">
        <v>891</v>
      </c>
      <c r="H16" s="8" t="s">
        <v>892</v>
      </c>
      <c r="I16" s="8"/>
      <c r="J16" s="8" t="s">
        <v>893</v>
      </c>
      <c r="K16" s="8" t="s">
        <v>807</v>
      </c>
      <c r="L16" s="8" t="s">
        <v>5</v>
      </c>
      <c r="M16" s="8"/>
    </row>
    <row r="17" customFormat="false" ht="64.15" hidden="false" customHeight="false" outlineLevel="0" collapsed="false">
      <c r="A17" s="8" t="s">
        <v>894</v>
      </c>
      <c r="B17" s="8" t="s">
        <v>895</v>
      </c>
      <c r="C17" s="8" t="s">
        <v>889</v>
      </c>
      <c r="D17" s="8" t="s">
        <v>896</v>
      </c>
      <c r="E17" s="8" t="s">
        <v>802</v>
      </c>
      <c r="F17" s="8" t="s">
        <v>803</v>
      </c>
      <c r="G17" s="8" t="s">
        <v>897</v>
      </c>
      <c r="H17" s="8" t="s">
        <v>898</v>
      </c>
      <c r="I17" s="8"/>
      <c r="J17" s="8" t="s">
        <v>899</v>
      </c>
      <c r="K17" s="8" t="s">
        <v>807</v>
      </c>
      <c r="L17" s="8" t="s">
        <v>5</v>
      </c>
      <c r="M17" s="8"/>
    </row>
    <row r="18" customFormat="false" ht="64.15" hidden="false" customHeight="false" outlineLevel="0" collapsed="false">
      <c r="A18" s="8" t="s">
        <v>900</v>
      </c>
      <c r="B18" s="8" t="s">
        <v>901</v>
      </c>
      <c r="C18" s="8" t="s">
        <v>889</v>
      </c>
      <c r="D18" s="8" t="s">
        <v>902</v>
      </c>
      <c r="E18" s="8" t="s">
        <v>802</v>
      </c>
      <c r="F18" s="8" t="s">
        <v>803</v>
      </c>
      <c r="G18" s="8" t="s">
        <v>903</v>
      </c>
      <c r="H18" s="8" t="s">
        <v>904</v>
      </c>
      <c r="I18" s="8"/>
      <c r="J18" s="8" t="s">
        <v>905</v>
      </c>
      <c r="K18" s="8" t="s">
        <v>807</v>
      </c>
      <c r="L18" s="8" t="s">
        <v>5</v>
      </c>
      <c r="M18" s="8"/>
    </row>
    <row r="19" customFormat="false" ht="43.25" hidden="false" customHeight="false" outlineLevel="0" collapsed="false">
      <c r="A19" s="8" t="s">
        <v>906</v>
      </c>
      <c r="B19" s="8" t="s">
        <v>907</v>
      </c>
      <c r="C19" s="8" t="s">
        <v>889</v>
      </c>
      <c r="D19" s="8" t="s">
        <v>908</v>
      </c>
      <c r="E19" s="8" t="s">
        <v>802</v>
      </c>
      <c r="F19" s="8" t="s">
        <v>803</v>
      </c>
      <c r="G19" s="8" t="s">
        <v>909</v>
      </c>
      <c r="H19" s="8" t="s">
        <v>910</v>
      </c>
      <c r="I19" s="8"/>
      <c r="J19" s="8" t="s">
        <v>911</v>
      </c>
      <c r="K19" s="8" t="s">
        <v>807</v>
      </c>
      <c r="L19" s="8" t="s">
        <v>5</v>
      </c>
      <c r="M19" s="8"/>
    </row>
    <row r="20" customFormat="false" ht="43.25" hidden="false" customHeight="false" outlineLevel="0" collapsed="false">
      <c r="A20" s="8" t="s">
        <v>912</v>
      </c>
      <c r="B20" s="8" t="s">
        <v>913</v>
      </c>
      <c r="C20" s="8" t="s">
        <v>889</v>
      </c>
      <c r="D20" s="8" t="s">
        <v>914</v>
      </c>
      <c r="E20" s="8" t="s">
        <v>802</v>
      </c>
      <c r="F20" s="8" t="s">
        <v>803</v>
      </c>
      <c r="G20" s="8" t="s">
        <v>915</v>
      </c>
      <c r="H20" s="8" t="s">
        <v>916</v>
      </c>
      <c r="I20" s="8"/>
      <c r="J20" s="8" t="s">
        <v>917</v>
      </c>
      <c r="K20" s="8" t="s">
        <v>807</v>
      </c>
      <c r="L20" s="8" t="s">
        <v>5</v>
      </c>
      <c r="M20" s="8"/>
    </row>
    <row r="21" customFormat="false" ht="53.7" hidden="false" customHeight="false" outlineLevel="0" collapsed="false">
      <c r="A21" s="8" t="s">
        <v>918</v>
      </c>
      <c r="B21" s="8" t="s">
        <v>919</v>
      </c>
      <c r="C21" s="8" t="s">
        <v>889</v>
      </c>
      <c r="D21" s="8" t="s">
        <v>920</v>
      </c>
      <c r="E21" s="8" t="s">
        <v>802</v>
      </c>
      <c r="F21" s="8" t="s">
        <v>803</v>
      </c>
      <c r="G21" s="8" t="s">
        <v>921</v>
      </c>
      <c r="H21" s="8" t="s">
        <v>922</v>
      </c>
      <c r="I21" s="8"/>
      <c r="J21" s="8" t="s">
        <v>923</v>
      </c>
      <c r="K21" s="8" t="s">
        <v>807</v>
      </c>
      <c r="L21" s="8" t="s">
        <v>5</v>
      </c>
      <c r="M21" s="8"/>
    </row>
    <row r="22" customFormat="false" ht="74.6" hidden="false" customHeight="false" outlineLevel="0" collapsed="false">
      <c r="A22" s="8" t="s">
        <v>924</v>
      </c>
      <c r="B22" s="8" t="s">
        <v>925</v>
      </c>
      <c r="C22" s="8" t="s">
        <v>889</v>
      </c>
      <c r="D22" s="8" t="s">
        <v>926</v>
      </c>
      <c r="E22" s="8" t="s">
        <v>802</v>
      </c>
      <c r="F22" s="8" t="s">
        <v>803</v>
      </c>
      <c r="G22" s="8" t="s">
        <v>927</v>
      </c>
      <c r="H22" s="8" t="s">
        <v>928</v>
      </c>
      <c r="I22" s="8"/>
      <c r="J22" s="8" t="s">
        <v>929</v>
      </c>
      <c r="K22" s="8" t="s">
        <v>807</v>
      </c>
      <c r="L22" s="8" t="s">
        <v>5</v>
      </c>
      <c r="M22" s="8"/>
    </row>
    <row r="23" customFormat="false" ht="74.6" hidden="false" customHeight="false" outlineLevel="0" collapsed="false">
      <c r="A23" s="8" t="s">
        <v>930</v>
      </c>
      <c r="B23" s="8" t="s">
        <v>931</v>
      </c>
      <c r="C23" s="8" t="s">
        <v>932</v>
      </c>
      <c r="D23" s="8" t="s">
        <v>933</v>
      </c>
      <c r="E23" s="8" t="s">
        <v>802</v>
      </c>
      <c r="F23" s="8" t="s">
        <v>803</v>
      </c>
      <c r="G23" s="8" t="s">
        <v>934</v>
      </c>
      <c r="H23" s="8" t="s">
        <v>935</v>
      </c>
      <c r="I23" s="8"/>
      <c r="J23" s="8" t="s">
        <v>936</v>
      </c>
      <c r="K23" s="8" t="s">
        <v>807</v>
      </c>
      <c r="L23" s="8" t="s">
        <v>5</v>
      </c>
      <c r="M23" s="8"/>
    </row>
    <row r="24" customFormat="false" ht="53.7" hidden="false" customHeight="false" outlineLevel="0" collapsed="false">
      <c r="A24" s="8" t="s">
        <v>937</v>
      </c>
      <c r="B24" s="8" t="s">
        <v>938</v>
      </c>
      <c r="C24" s="8" t="s">
        <v>932</v>
      </c>
      <c r="D24" s="8" t="s">
        <v>939</v>
      </c>
      <c r="E24" s="8" t="s">
        <v>802</v>
      </c>
      <c r="F24" s="8" t="s">
        <v>803</v>
      </c>
      <c r="G24" s="8" t="s">
        <v>940</v>
      </c>
      <c r="H24" s="8" t="s">
        <v>941</v>
      </c>
      <c r="I24" s="8"/>
      <c r="J24" s="8" t="s">
        <v>942</v>
      </c>
      <c r="K24" s="8" t="s">
        <v>807</v>
      </c>
      <c r="L24" s="8" t="s">
        <v>5</v>
      </c>
      <c r="M24" s="8"/>
    </row>
    <row r="25" customFormat="false" ht="43.25" hidden="false" customHeight="false" outlineLevel="0" collapsed="false">
      <c r="A25" s="8" t="s">
        <v>943</v>
      </c>
      <c r="B25" s="8" t="s">
        <v>944</v>
      </c>
      <c r="C25" s="8" t="s">
        <v>932</v>
      </c>
      <c r="D25" s="8" t="s">
        <v>945</v>
      </c>
      <c r="E25" s="8" t="s">
        <v>802</v>
      </c>
      <c r="F25" s="8" t="s">
        <v>803</v>
      </c>
      <c r="G25" s="8" t="s">
        <v>946</v>
      </c>
      <c r="H25" s="8" t="s">
        <v>947</v>
      </c>
      <c r="I25" s="8"/>
      <c r="J25" s="8" t="s">
        <v>948</v>
      </c>
      <c r="K25" s="8" t="s">
        <v>807</v>
      </c>
      <c r="L25" s="8" t="s">
        <v>5</v>
      </c>
      <c r="M25" s="8"/>
    </row>
    <row r="26" customFormat="false" ht="43.25" hidden="false" customHeight="false" outlineLevel="0" collapsed="false">
      <c r="A26" s="8" t="s">
        <v>949</v>
      </c>
      <c r="B26" s="8" t="s">
        <v>950</v>
      </c>
      <c r="C26" s="8" t="s">
        <v>932</v>
      </c>
      <c r="D26" s="8" t="s">
        <v>951</v>
      </c>
      <c r="E26" s="8" t="s">
        <v>802</v>
      </c>
      <c r="F26" s="8" t="s">
        <v>803</v>
      </c>
      <c r="G26" s="8" t="s">
        <v>952</v>
      </c>
      <c r="H26" s="8" t="s">
        <v>953</v>
      </c>
      <c r="I26" s="8"/>
      <c r="J26" s="8" t="s">
        <v>954</v>
      </c>
      <c r="K26" s="8" t="s">
        <v>807</v>
      </c>
      <c r="L26" s="8" t="s">
        <v>5</v>
      </c>
      <c r="M26" s="8"/>
    </row>
    <row r="27" customFormat="false" ht="64.15" hidden="false" customHeight="false" outlineLevel="0" collapsed="false">
      <c r="A27" s="8" t="s">
        <v>955</v>
      </c>
      <c r="B27" s="8" t="s">
        <v>956</v>
      </c>
      <c r="C27" s="8" t="s">
        <v>957</v>
      </c>
      <c r="D27" s="8" t="s">
        <v>958</v>
      </c>
      <c r="E27" s="8" t="s">
        <v>959</v>
      </c>
      <c r="F27" s="8" t="s">
        <v>803</v>
      </c>
      <c r="G27" s="8" t="s">
        <v>960</v>
      </c>
      <c r="H27" s="8"/>
      <c r="I27" s="8"/>
      <c r="J27" s="8" t="s">
        <v>961</v>
      </c>
      <c r="K27" s="8" t="s">
        <v>807</v>
      </c>
      <c r="L27" s="8" t="s">
        <v>5</v>
      </c>
      <c r="M27" s="8"/>
    </row>
    <row r="28" customFormat="false" ht="53.7" hidden="false" customHeight="false" outlineLevel="0" collapsed="false">
      <c r="A28" s="8" t="s">
        <v>962</v>
      </c>
      <c r="B28" s="8" t="s">
        <v>963</v>
      </c>
      <c r="C28" s="8" t="s">
        <v>957</v>
      </c>
      <c r="D28" s="8" t="s">
        <v>964</v>
      </c>
      <c r="E28" s="8" t="s">
        <v>959</v>
      </c>
      <c r="F28" s="8" t="s">
        <v>803</v>
      </c>
      <c r="G28" s="8" t="s">
        <v>965</v>
      </c>
      <c r="H28" s="8"/>
      <c r="I28" s="8"/>
      <c r="J28" s="8" t="s">
        <v>966</v>
      </c>
      <c r="K28" s="8" t="s">
        <v>807</v>
      </c>
      <c r="L28" s="8" t="s">
        <v>5</v>
      </c>
      <c r="M28" s="8"/>
    </row>
    <row r="29" customFormat="false" ht="43.25" hidden="false" customHeight="false" outlineLevel="0" collapsed="false">
      <c r="A29" s="8" t="s">
        <v>967</v>
      </c>
      <c r="B29" s="8" t="s">
        <v>968</v>
      </c>
      <c r="C29" s="8" t="s">
        <v>957</v>
      </c>
      <c r="D29" s="8" t="s">
        <v>969</v>
      </c>
      <c r="E29" s="8" t="s">
        <v>959</v>
      </c>
      <c r="F29" s="8" t="s">
        <v>970</v>
      </c>
      <c r="G29" s="8" t="s">
        <v>971</v>
      </c>
      <c r="H29" s="8"/>
      <c r="I29" s="8"/>
      <c r="J29" s="8" t="s">
        <v>972</v>
      </c>
      <c r="K29" s="8" t="s">
        <v>807</v>
      </c>
      <c r="L29" s="8" t="s">
        <v>5</v>
      </c>
      <c r="M29" s="8"/>
    </row>
    <row r="30" customFormat="false" ht="53.7" hidden="false" customHeight="false" outlineLevel="0" collapsed="false">
      <c r="A30" s="8" t="s">
        <v>973</v>
      </c>
      <c r="B30" s="8" t="s">
        <v>974</v>
      </c>
      <c r="C30" s="8" t="s">
        <v>957</v>
      </c>
      <c r="D30" s="8" t="s">
        <v>975</v>
      </c>
      <c r="E30" s="8" t="s">
        <v>959</v>
      </c>
      <c r="F30" s="8" t="s">
        <v>803</v>
      </c>
      <c r="G30" s="8" t="s">
        <v>976</v>
      </c>
      <c r="H30" s="8"/>
      <c r="I30" s="8"/>
      <c r="J30" s="8" t="s">
        <v>977</v>
      </c>
      <c r="K30" s="8" t="s">
        <v>807</v>
      </c>
      <c r="L30" s="8" t="s">
        <v>5</v>
      </c>
      <c r="M30" s="8"/>
    </row>
    <row r="31" customFormat="false" ht="64.15" hidden="false" customHeight="false" outlineLevel="0" collapsed="false">
      <c r="A31" s="8" t="s">
        <v>978</v>
      </c>
      <c r="B31" s="8" t="s">
        <v>979</v>
      </c>
      <c r="C31" s="8" t="s">
        <v>957</v>
      </c>
      <c r="D31" s="8" t="s">
        <v>980</v>
      </c>
      <c r="E31" s="8" t="s">
        <v>959</v>
      </c>
      <c r="F31" s="8" t="s">
        <v>970</v>
      </c>
      <c r="G31" s="8" t="s">
        <v>981</v>
      </c>
      <c r="H31" s="8"/>
      <c r="I31" s="8"/>
      <c r="J31" s="8" t="s">
        <v>982</v>
      </c>
      <c r="K31" s="8" t="s">
        <v>807</v>
      </c>
      <c r="L31" s="8" t="s">
        <v>5</v>
      </c>
      <c r="M31" s="8"/>
    </row>
    <row r="32" customFormat="false" ht="43.25" hidden="false" customHeight="false" outlineLevel="0" collapsed="false">
      <c r="A32" s="8" t="s">
        <v>983</v>
      </c>
      <c r="B32" s="8" t="s">
        <v>984</v>
      </c>
      <c r="C32" s="8" t="s">
        <v>957</v>
      </c>
      <c r="D32" s="8" t="s">
        <v>985</v>
      </c>
      <c r="E32" s="8" t="s">
        <v>959</v>
      </c>
      <c r="F32" s="8" t="s">
        <v>803</v>
      </c>
      <c r="G32" s="8" t="s">
        <v>986</v>
      </c>
      <c r="H32" s="8"/>
      <c r="I32" s="8"/>
      <c r="J32" s="8" t="s">
        <v>987</v>
      </c>
      <c r="K32" s="8" t="s">
        <v>807</v>
      </c>
      <c r="L32" s="8" t="s">
        <v>5</v>
      </c>
      <c r="M32" s="8"/>
    </row>
    <row r="33" customFormat="false" ht="53.7" hidden="false" customHeight="false" outlineLevel="0" collapsed="false">
      <c r="A33" s="8" t="s">
        <v>988</v>
      </c>
      <c r="B33" s="8" t="s">
        <v>989</v>
      </c>
      <c r="C33" s="8" t="s">
        <v>957</v>
      </c>
      <c r="D33" s="8" t="s">
        <v>990</v>
      </c>
      <c r="E33" s="8" t="s">
        <v>959</v>
      </c>
      <c r="F33" s="8" t="s">
        <v>803</v>
      </c>
      <c r="G33" s="8" t="s">
        <v>991</v>
      </c>
      <c r="H33" s="8"/>
      <c r="I33" s="8"/>
      <c r="J33" s="8" t="s">
        <v>992</v>
      </c>
      <c r="K33" s="8" t="s">
        <v>807</v>
      </c>
      <c r="L33" s="8" t="s">
        <v>5</v>
      </c>
      <c r="M33" s="8"/>
    </row>
    <row r="34" customFormat="false" ht="43.25" hidden="false" customHeight="false" outlineLevel="0" collapsed="false">
      <c r="A34" s="8" t="s">
        <v>993</v>
      </c>
      <c r="B34" s="8" t="s">
        <v>994</v>
      </c>
      <c r="C34" s="8" t="s">
        <v>957</v>
      </c>
      <c r="D34" s="8" t="s">
        <v>995</v>
      </c>
      <c r="E34" s="8" t="s">
        <v>959</v>
      </c>
      <c r="F34" s="8" t="s">
        <v>803</v>
      </c>
      <c r="G34" s="8" t="s">
        <v>996</v>
      </c>
      <c r="H34" s="8"/>
      <c r="I34" s="8"/>
      <c r="J34" s="8" t="s">
        <v>997</v>
      </c>
      <c r="K34" s="8" t="s">
        <v>807</v>
      </c>
      <c r="L34" s="8" t="s">
        <v>5</v>
      </c>
      <c r="M34" s="8"/>
    </row>
    <row r="35" customFormat="false" ht="43.25" hidden="false" customHeight="false" outlineLevel="0" collapsed="false">
      <c r="A35" s="8" t="s">
        <v>998</v>
      </c>
      <c r="B35" s="8" t="s">
        <v>999</v>
      </c>
      <c r="C35" s="8" t="s">
        <v>957</v>
      </c>
      <c r="D35" s="8" t="s">
        <v>1000</v>
      </c>
      <c r="E35" s="8" t="s">
        <v>959</v>
      </c>
      <c r="F35" s="8" t="s">
        <v>970</v>
      </c>
      <c r="G35" s="8" t="s">
        <v>1001</v>
      </c>
      <c r="H35" s="8"/>
      <c r="I35" s="8"/>
      <c r="J35" s="8" t="s">
        <v>1002</v>
      </c>
      <c r="K35" s="8" t="s">
        <v>807</v>
      </c>
      <c r="L35" s="8" t="s">
        <v>5</v>
      </c>
      <c r="M35" s="8"/>
    </row>
    <row r="36" customFormat="false" ht="64.15" hidden="false" customHeight="false" outlineLevel="0" collapsed="false">
      <c r="A36" s="8" t="s">
        <v>1003</v>
      </c>
      <c r="B36" s="8" t="s">
        <v>1004</v>
      </c>
      <c r="C36" s="8" t="s">
        <v>957</v>
      </c>
      <c r="D36" s="8" t="s">
        <v>1005</v>
      </c>
      <c r="E36" s="8" t="s">
        <v>959</v>
      </c>
      <c r="F36" s="8" t="s">
        <v>803</v>
      </c>
      <c r="G36" s="8" t="s">
        <v>1006</v>
      </c>
      <c r="H36" s="8"/>
      <c r="I36" s="8"/>
      <c r="J36" s="8" t="s">
        <v>1007</v>
      </c>
      <c r="K36" s="8" t="s">
        <v>807</v>
      </c>
      <c r="L36" s="8" t="s">
        <v>5</v>
      </c>
      <c r="M36" s="8"/>
    </row>
    <row r="37" customFormat="false" ht="64.15" hidden="false" customHeight="false" outlineLevel="0" collapsed="false">
      <c r="A37" s="8" t="s">
        <v>1008</v>
      </c>
      <c r="B37" s="8" t="s">
        <v>1009</v>
      </c>
      <c r="C37" s="8" t="s">
        <v>957</v>
      </c>
      <c r="D37" s="8" t="s">
        <v>1010</v>
      </c>
      <c r="E37" s="8" t="s">
        <v>959</v>
      </c>
      <c r="F37" s="8" t="s">
        <v>803</v>
      </c>
      <c r="G37" s="8" t="s">
        <v>1011</v>
      </c>
      <c r="H37" s="8"/>
      <c r="I37" s="8"/>
      <c r="J37" s="8" t="s">
        <v>1012</v>
      </c>
      <c r="K37" s="8" t="s">
        <v>807</v>
      </c>
      <c r="L37" s="8" t="s">
        <v>5</v>
      </c>
      <c r="M37" s="8"/>
    </row>
    <row r="38" customFormat="false" ht="64.15" hidden="false" customHeight="false" outlineLevel="0" collapsed="false">
      <c r="A38" s="8" t="s">
        <v>1013</v>
      </c>
      <c r="B38" s="8" t="s">
        <v>1014</v>
      </c>
      <c r="C38" s="8" t="s">
        <v>957</v>
      </c>
      <c r="D38" s="8" t="s">
        <v>1015</v>
      </c>
      <c r="E38" s="8" t="s">
        <v>959</v>
      </c>
      <c r="F38" s="8" t="s">
        <v>803</v>
      </c>
      <c r="G38" s="8" t="s">
        <v>1016</v>
      </c>
      <c r="H38" s="8"/>
      <c r="I38" s="8"/>
      <c r="J38" s="8" t="s">
        <v>1017</v>
      </c>
      <c r="K38" s="8" t="s">
        <v>807</v>
      </c>
      <c r="L38" s="8" t="s">
        <v>5</v>
      </c>
      <c r="M38" s="8"/>
    </row>
    <row r="39" customFormat="false" ht="64.15" hidden="false" customHeight="false" outlineLevel="0" collapsed="false">
      <c r="A39" s="8" t="s">
        <v>1018</v>
      </c>
      <c r="B39" s="8" t="s">
        <v>1019</v>
      </c>
      <c r="C39" s="8" t="s">
        <v>957</v>
      </c>
      <c r="D39" s="8" t="s">
        <v>1020</v>
      </c>
      <c r="E39" s="8" t="s">
        <v>959</v>
      </c>
      <c r="F39" s="8" t="s">
        <v>803</v>
      </c>
      <c r="G39" s="8" t="s">
        <v>1021</v>
      </c>
      <c r="H39" s="8"/>
      <c r="I39" s="8"/>
      <c r="J39" s="8" t="s">
        <v>1022</v>
      </c>
      <c r="K39" s="8" t="s">
        <v>807</v>
      </c>
      <c r="L39" s="8" t="s">
        <v>5</v>
      </c>
      <c r="M39" s="8"/>
    </row>
    <row r="40" customFormat="false" ht="64.15" hidden="false" customHeight="false" outlineLevel="0" collapsed="false">
      <c r="A40" s="8" t="s">
        <v>1023</v>
      </c>
      <c r="B40" s="8" t="s">
        <v>1024</v>
      </c>
      <c r="C40" s="8" t="s">
        <v>957</v>
      </c>
      <c r="D40" s="8" t="s">
        <v>1025</v>
      </c>
      <c r="E40" s="8" t="s">
        <v>959</v>
      </c>
      <c r="F40" s="8" t="s">
        <v>803</v>
      </c>
      <c r="G40" s="8" t="s">
        <v>1026</v>
      </c>
      <c r="H40" s="8"/>
      <c r="I40" s="8"/>
      <c r="J40" s="8" t="s">
        <v>1027</v>
      </c>
      <c r="K40" s="8" t="s">
        <v>807</v>
      </c>
      <c r="L40" s="8" t="s">
        <v>5</v>
      </c>
      <c r="M40" s="8"/>
    </row>
    <row r="41" customFormat="false" ht="64.15" hidden="false" customHeight="false" outlineLevel="0" collapsed="false">
      <c r="A41" s="8" t="s">
        <v>1028</v>
      </c>
      <c r="B41" s="8" t="s">
        <v>1029</v>
      </c>
      <c r="C41" s="8" t="s">
        <v>957</v>
      </c>
      <c r="D41" s="8" t="s">
        <v>1030</v>
      </c>
      <c r="E41" s="8" t="s">
        <v>959</v>
      </c>
      <c r="F41" s="8" t="s">
        <v>803</v>
      </c>
      <c r="G41" s="8" t="s">
        <v>1031</v>
      </c>
      <c r="H41" s="8"/>
      <c r="I41" s="8"/>
      <c r="J41" s="8" t="s">
        <v>1032</v>
      </c>
      <c r="K41" s="8" t="s">
        <v>807</v>
      </c>
      <c r="L41" s="8" t="s">
        <v>5</v>
      </c>
      <c r="M41" s="8"/>
    </row>
    <row r="42" customFormat="false" ht="105.95" hidden="false" customHeight="false" outlineLevel="0" collapsed="false">
      <c r="A42" s="8" t="s">
        <v>1033</v>
      </c>
      <c r="B42" s="8" t="s">
        <v>1034</v>
      </c>
      <c r="C42" s="8" t="s">
        <v>1035</v>
      </c>
      <c r="D42" s="8" t="s">
        <v>1036</v>
      </c>
      <c r="E42" s="8" t="s">
        <v>802</v>
      </c>
      <c r="F42" s="8" t="s">
        <v>803</v>
      </c>
      <c r="G42" s="8" t="s">
        <v>1037</v>
      </c>
      <c r="H42" s="8"/>
      <c r="I42" s="8"/>
      <c r="J42" s="8" t="s">
        <v>1038</v>
      </c>
      <c r="K42" s="8" t="s">
        <v>807</v>
      </c>
      <c r="L42" s="8" t="s">
        <v>5</v>
      </c>
      <c r="M42" s="8"/>
    </row>
  </sheetData>
  <autoFilter ref="A1:M42"/>
  <dataValidations count="1">
    <dataValidation allowBlank="true" errorStyle="stop" operator="between" showDropDown="false" showErrorMessage="false" showInputMessage="false" sqref="L2:L42" type="list">
      <formula1>"Not started,Designed,Implemented,Passed,Failed,Blocked"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8"/>
    <col collapsed="false" customWidth="true" hidden="false" outlineLevel="0" max="4" min="4" style="0" width="60"/>
    <col collapsed="false" customWidth="true" hidden="false" outlineLevel="0" max="5" min="5" style="0" width="8"/>
    <col collapsed="false" customWidth="true" hidden="false" outlineLevel="0" max="6" min="6" style="0" width="11"/>
    <col collapsed="false" customWidth="true" hidden="false" outlineLevel="0" max="7" min="7" style="0" width="60"/>
    <col collapsed="false" customWidth="true" hidden="false" outlineLevel="0" max="9" min="8" style="0" width="18"/>
    <col collapsed="false" customWidth="true" hidden="false" outlineLevel="0" max="10" min="10" style="0" width="14"/>
    <col collapsed="false" customWidth="true" hidden="false" outlineLevel="0" max="11" min="11" style="0" width="10"/>
    <col collapsed="false" customWidth="true" hidden="false" outlineLevel="0" max="12" min="12" style="0" width="13"/>
    <col collapsed="false" customWidth="true" hidden="false" outlineLevel="0" max="13" min="13" style="0" width="40"/>
  </cols>
  <sheetData>
    <row r="1" customFormat="false" ht="31.5" hidden="false" customHeight="true" outlineLevel="0" collapsed="false">
      <c r="A1" s="7" t="s">
        <v>27</v>
      </c>
      <c r="B1" s="7" t="s">
        <v>790</v>
      </c>
      <c r="C1" s="7" t="s">
        <v>28</v>
      </c>
      <c r="D1" s="7" t="s">
        <v>791</v>
      </c>
      <c r="E1" s="7" t="s">
        <v>792</v>
      </c>
      <c r="F1" s="7" t="s">
        <v>793</v>
      </c>
      <c r="G1" s="7" t="s">
        <v>794</v>
      </c>
      <c r="H1" s="7" t="s">
        <v>795</v>
      </c>
      <c r="I1" s="7" t="s">
        <v>796</v>
      </c>
      <c r="J1" s="7" t="s">
        <v>797</v>
      </c>
      <c r="K1" s="7" t="s">
        <v>33</v>
      </c>
      <c r="L1" s="7" t="s">
        <v>34</v>
      </c>
      <c r="M1" s="7" t="s">
        <v>35</v>
      </c>
    </row>
    <row r="2" customFormat="false" ht="64.15" hidden="false" customHeight="false" outlineLevel="0" collapsed="false">
      <c r="A2" s="8" t="s">
        <v>805</v>
      </c>
      <c r="B2" s="8" t="s">
        <v>1039</v>
      </c>
      <c r="C2" s="8" t="s">
        <v>1040</v>
      </c>
      <c r="D2" s="8" t="s">
        <v>801</v>
      </c>
      <c r="E2" s="8" t="s">
        <v>802</v>
      </c>
      <c r="F2" s="8" t="s">
        <v>803</v>
      </c>
      <c r="G2" s="8" t="s">
        <v>1041</v>
      </c>
      <c r="H2" s="8"/>
      <c r="I2" s="8" t="s">
        <v>798</v>
      </c>
      <c r="J2" s="8" t="s">
        <v>1042</v>
      </c>
      <c r="K2" s="8" t="s">
        <v>807</v>
      </c>
      <c r="L2" s="8" t="s">
        <v>5</v>
      </c>
      <c r="M2" s="8"/>
    </row>
    <row r="3" customFormat="false" ht="95.5" hidden="false" customHeight="false" outlineLevel="0" collapsed="false">
      <c r="A3" s="8" t="s">
        <v>1043</v>
      </c>
      <c r="B3" s="8" t="s">
        <v>1044</v>
      </c>
      <c r="C3" s="8" t="s">
        <v>1045</v>
      </c>
      <c r="D3" s="8" t="s">
        <v>1046</v>
      </c>
      <c r="E3" s="8" t="s">
        <v>802</v>
      </c>
      <c r="F3" s="8" t="s">
        <v>803</v>
      </c>
      <c r="G3" s="8" t="s">
        <v>1047</v>
      </c>
      <c r="H3" s="8"/>
      <c r="I3" s="8" t="s">
        <v>808</v>
      </c>
      <c r="J3" s="8" t="s">
        <v>1048</v>
      </c>
      <c r="K3" s="8" t="s">
        <v>807</v>
      </c>
      <c r="L3" s="8" t="s">
        <v>5</v>
      </c>
      <c r="M3" s="8"/>
    </row>
    <row r="4" customFormat="false" ht="126.85" hidden="false" customHeight="false" outlineLevel="0" collapsed="false">
      <c r="A4" s="8" t="s">
        <v>1049</v>
      </c>
      <c r="B4" s="8" t="s">
        <v>1050</v>
      </c>
      <c r="C4" s="8" t="s">
        <v>1045</v>
      </c>
      <c r="D4" s="8" t="s">
        <v>1051</v>
      </c>
      <c r="E4" s="8" t="s">
        <v>802</v>
      </c>
      <c r="F4" s="8" t="s">
        <v>803</v>
      </c>
      <c r="G4" s="8" t="s">
        <v>1052</v>
      </c>
      <c r="H4" s="8"/>
      <c r="I4" s="8" t="s">
        <v>808</v>
      </c>
      <c r="J4" s="8" t="s">
        <v>1053</v>
      </c>
      <c r="K4" s="8" t="s">
        <v>807</v>
      </c>
      <c r="L4" s="8" t="s">
        <v>5</v>
      </c>
      <c r="M4" s="8"/>
    </row>
    <row r="5" customFormat="false" ht="74.6" hidden="false" customHeight="false" outlineLevel="0" collapsed="false">
      <c r="A5" s="8" t="s">
        <v>1054</v>
      </c>
      <c r="B5" s="8" t="s">
        <v>1055</v>
      </c>
      <c r="C5" s="8" t="s">
        <v>1045</v>
      </c>
      <c r="D5" s="8" t="s">
        <v>1056</v>
      </c>
      <c r="E5" s="8" t="s">
        <v>802</v>
      </c>
      <c r="F5" s="8" t="s">
        <v>803</v>
      </c>
      <c r="G5" s="8" t="s">
        <v>1057</v>
      </c>
      <c r="H5" s="8"/>
      <c r="I5" s="8" t="s">
        <v>808</v>
      </c>
      <c r="J5" s="8" t="s">
        <v>1058</v>
      </c>
      <c r="K5" s="8" t="s">
        <v>807</v>
      </c>
      <c r="L5" s="8" t="s">
        <v>5</v>
      </c>
      <c r="M5" s="8"/>
    </row>
    <row r="6" customFormat="false" ht="85.05" hidden="false" customHeight="false" outlineLevel="0" collapsed="false">
      <c r="A6" s="8" t="s">
        <v>824</v>
      </c>
      <c r="B6" s="8" t="s">
        <v>1059</v>
      </c>
      <c r="C6" s="8" t="s">
        <v>1045</v>
      </c>
      <c r="D6" s="8" t="s">
        <v>1060</v>
      </c>
      <c r="E6" s="8" t="s">
        <v>802</v>
      </c>
      <c r="F6" s="8" t="s">
        <v>803</v>
      </c>
      <c r="G6" s="8" t="s">
        <v>1061</v>
      </c>
      <c r="H6" s="8"/>
      <c r="I6" s="8" t="s">
        <v>820</v>
      </c>
      <c r="J6" s="8" t="s">
        <v>1062</v>
      </c>
      <c r="K6" s="8" t="s">
        <v>807</v>
      </c>
      <c r="L6" s="8" t="s">
        <v>5</v>
      </c>
      <c r="M6" s="8"/>
    </row>
    <row r="7" customFormat="false" ht="95.5" hidden="false" customHeight="false" outlineLevel="0" collapsed="false">
      <c r="A7" s="8" t="s">
        <v>830</v>
      </c>
      <c r="B7" s="8" t="s">
        <v>1063</v>
      </c>
      <c r="C7" s="8" t="s">
        <v>1045</v>
      </c>
      <c r="D7" s="8" t="s">
        <v>1064</v>
      </c>
      <c r="E7" s="8" t="s">
        <v>802</v>
      </c>
      <c r="F7" s="8" t="s">
        <v>803</v>
      </c>
      <c r="G7" s="8" t="s">
        <v>1065</v>
      </c>
      <c r="H7" s="8"/>
      <c r="I7" s="8" t="s">
        <v>826</v>
      </c>
      <c r="J7" s="8" t="s">
        <v>1066</v>
      </c>
      <c r="K7" s="8" t="s">
        <v>807</v>
      </c>
      <c r="L7" s="8" t="s">
        <v>5</v>
      </c>
      <c r="M7" s="8"/>
    </row>
    <row r="8" customFormat="false" ht="116.4" hidden="false" customHeight="false" outlineLevel="0" collapsed="false">
      <c r="A8" s="8" t="s">
        <v>1067</v>
      </c>
      <c r="B8" s="8" t="s">
        <v>1068</v>
      </c>
      <c r="C8" s="8" t="s">
        <v>1069</v>
      </c>
      <c r="D8" s="8" t="s">
        <v>1070</v>
      </c>
      <c r="E8" s="8" t="s">
        <v>802</v>
      </c>
      <c r="F8" s="8" t="s">
        <v>803</v>
      </c>
      <c r="G8" s="8" t="s">
        <v>1071</v>
      </c>
      <c r="H8" s="8"/>
      <c r="I8" s="8" t="s">
        <v>851</v>
      </c>
      <c r="J8" s="8" t="s">
        <v>1072</v>
      </c>
      <c r="K8" s="8" t="s">
        <v>807</v>
      </c>
      <c r="L8" s="8" t="s">
        <v>5</v>
      </c>
      <c r="M8" s="8"/>
    </row>
    <row r="9" customFormat="false" ht="85.05" hidden="false" customHeight="false" outlineLevel="0" collapsed="false">
      <c r="A9" s="8" t="s">
        <v>1073</v>
      </c>
      <c r="B9" s="8" t="s">
        <v>1074</v>
      </c>
      <c r="C9" s="8" t="s">
        <v>1069</v>
      </c>
      <c r="D9" s="8" t="s">
        <v>1075</v>
      </c>
      <c r="E9" s="8" t="s">
        <v>802</v>
      </c>
      <c r="F9" s="8" t="s">
        <v>803</v>
      </c>
      <c r="G9" s="8" t="s">
        <v>1076</v>
      </c>
      <c r="H9" s="8"/>
      <c r="I9" s="8" t="s">
        <v>851</v>
      </c>
      <c r="J9" s="8" t="s">
        <v>1077</v>
      </c>
      <c r="K9" s="8" t="s">
        <v>807</v>
      </c>
      <c r="L9" s="8" t="s">
        <v>5</v>
      </c>
      <c r="M9" s="8"/>
    </row>
    <row r="10" customFormat="false" ht="95.5" hidden="false" customHeight="false" outlineLevel="0" collapsed="false">
      <c r="A10" s="8" t="s">
        <v>1078</v>
      </c>
      <c r="B10" s="8" t="s">
        <v>1079</v>
      </c>
      <c r="C10" s="8" t="s">
        <v>1069</v>
      </c>
      <c r="D10" s="8" t="s">
        <v>1080</v>
      </c>
      <c r="E10" s="8" t="s">
        <v>802</v>
      </c>
      <c r="F10" s="8" t="s">
        <v>803</v>
      </c>
      <c r="G10" s="8" t="s">
        <v>1081</v>
      </c>
      <c r="H10" s="8"/>
      <c r="I10" s="8" t="s">
        <v>851</v>
      </c>
      <c r="J10" s="8" t="s">
        <v>1082</v>
      </c>
      <c r="K10" s="8" t="s">
        <v>807</v>
      </c>
      <c r="L10" s="8" t="s">
        <v>5</v>
      </c>
      <c r="M10" s="8"/>
    </row>
    <row r="11" customFormat="false" ht="64.15" hidden="false" customHeight="false" outlineLevel="0" collapsed="false">
      <c r="A11" s="8" t="s">
        <v>843</v>
      </c>
      <c r="B11" s="8" t="s">
        <v>1083</v>
      </c>
      <c r="C11" s="8" t="s">
        <v>1084</v>
      </c>
      <c r="D11" s="8" t="s">
        <v>1085</v>
      </c>
      <c r="E11" s="8" t="s">
        <v>802</v>
      </c>
      <c r="F11" s="8" t="s">
        <v>803</v>
      </c>
      <c r="G11" s="8" t="s">
        <v>1086</v>
      </c>
      <c r="H11" s="8"/>
      <c r="I11" s="8" t="s">
        <v>839</v>
      </c>
      <c r="J11" s="8" t="s">
        <v>1087</v>
      </c>
      <c r="K11" s="8" t="s">
        <v>807</v>
      </c>
      <c r="L11" s="8" t="s">
        <v>5</v>
      </c>
      <c r="M11" s="8"/>
    </row>
    <row r="12" customFormat="false" ht="85.05" hidden="false" customHeight="false" outlineLevel="0" collapsed="false">
      <c r="A12" s="8" t="s">
        <v>849</v>
      </c>
      <c r="B12" s="8" t="s">
        <v>1088</v>
      </c>
      <c r="C12" s="8" t="s">
        <v>1084</v>
      </c>
      <c r="D12" s="8" t="s">
        <v>847</v>
      </c>
      <c r="E12" s="8" t="s">
        <v>802</v>
      </c>
      <c r="F12" s="8" t="s">
        <v>803</v>
      </c>
      <c r="G12" s="8" t="s">
        <v>1089</v>
      </c>
      <c r="H12" s="8"/>
      <c r="I12" s="8" t="s">
        <v>845</v>
      </c>
      <c r="J12" s="8" t="s">
        <v>1090</v>
      </c>
      <c r="K12" s="8" t="s">
        <v>807</v>
      </c>
      <c r="L12" s="8" t="s">
        <v>5</v>
      </c>
      <c r="M12" s="8"/>
    </row>
    <row r="13" customFormat="false" ht="74.6" hidden="false" customHeight="false" outlineLevel="0" collapsed="false">
      <c r="A13" s="8" t="s">
        <v>837</v>
      </c>
      <c r="B13" s="8" t="s">
        <v>1091</v>
      </c>
      <c r="C13" s="8" t="s">
        <v>1084</v>
      </c>
      <c r="D13" s="8" t="s">
        <v>835</v>
      </c>
      <c r="E13" s="8" t="s">
        <v>802</v>
      </c>
      <c r="F13" s="8" t="s">
        <v>803</v>
      </c>
      <c r="G13" s="8" t="s">
        <v>1092</v>
      </c>
      <c r="H13" s="8"/>
      <c r="I13" s="8" t="s">
        <v>832</v>
      </c>
      <c r="J13" s="8" t="s">
        <v>1093</v>
      </c>
      <c r="K13" s="8" t="s">
        <v>807</v>
      </c>
      <c r="L13" s="8" t="s">
        <v>5</v>
      </c>
      <c r="M13" s="8"/>
    </row>
    <row r="14" customFormat="false" ht="95.5" hidden="false" customHeight="false" outlineLevel="0" collapsed="false">
      <c r="A14" s="8" t="s">
        <v>1094</v>
      </c>
      <c r="B14" s="8" t="s">
        <v>1095</v>
      </c>
      <c r="C14" s="8" t="s">
        <v>1084</v>
      </c>
      <c r="D14" s="8" t="s">
        <v>1096</v>
      </c>
      <c r="E14" s="8" t="s">
        <v>802</v>
      </c>
      <c r="F14" s="8" t="s">
        <v>803</v>
      </c>
      <c r="G14" s="8" t="s">
        <v>1097</v>
      </c>
      <c r="H14" s="8"/>
      <c r="I14" s="8" t="s">
        <v>851</v>
      </c>
      <c r="J14" s="8" t="s">
        <v>1098</v>
      </c>
      <c r="K14" s="8" t="s">
        <v>807</v>
      </c>
      <c r="L14" s="8" t="s">
        <v>5</v>
      </c>
      <c r="M14" s="8"/>
    </row>
    <row r="15" customFormat="false" ht="74.6" hidden="false" customHeight="false" outlineLevel="0" collapsed="false">
      <c r="A15" s="8" t="s">
        <v>861</v>
      </c>
      <c r="B15" s="8" t="s">
        <v>1099</v>
      </c>
      <c r="C15" s="8" t="s">
        <v>1084</v>
      </c>
      <c r="D15" s="8" t="s">
        <v>1100</v>
      </c>
      <c r="E15" s="8" t="s">
        <v>802</v>
      </c>
      <c r="F15" s="8" t="s">
        <v>803</v>
      </c>
      <c r="G15" s="8" t="s">
        <v>1101</v>
      </c>
      <c r="H15" s="8"/>
      <c r="I15" s="8" t="s">
        <v>857</v>
      </c>
      <c r="J15" s="8" t="s">
        <v>1102</v>
      </c>
      <c r="K15" s="8" t="s">
        <v>807</v>
      </c>
      <c r="L15" s="8" t="s">
        <v>5</v>
      </c>
      <c r="M15" s="8"/>
    </row>
    <row r="16" customFormat="false" ht="95.5" hidden="false" customHeight="false" outlineLevel="0" collapsed="false">
      <c r="A16" s="8" t="s">
        <v>867</v>
      </c>
      <c r="B16" s="8" t="s">
        <v>1103</v>
      </c>
      <c r="C16" s="8" t="s">
        <v>1084</v>
      </c>
      <c r="D16" s="8" t="s">
        <v>865</v>
      </c>
      <c r="E16" s="8" t="s">
        <v>802</v>
      </c>
      <c r="F16" s="8" t="s">
        <v>803</v>
      </c>
      <c r="G16" s="8" t="s">
        <v>1104</v>
      </c>
      <c r="H16" s="8"/>
      <c r="I16" s="8" t="s">
        <v>863</v>
      </c>
      <c r="J16" s="8" t="s">
        <v>1105</v>
      </c>
      <c r="K16" s="8" t="s">
        <v>807</v>
      </c>
      <c r="L16" s="8" t="s">
        <v>5</v>
      </c>
      <c r="M16" s="8"/>
    </row>
    <row r="17" customFormat="false" ht="64.15" hidden="false" customHeight="false" outlineLevel="0" collapsed="false">
      <c r="A17" s="8" t="s">
        <v>873</v>
      </c>
      <c r="B17" s="8" t="s">
        <v>1106</v>
      </c>
      <c r="C17" s="8" t="s">
        <v>1084</v>
      </c>
      <c r="D17" s="8" t="s">
        <v>871</v>
      </c>
      <c r="E17" s="8" t="s">
        <v>802</v>
      </c>
      <c r="F17" s="8" t="s">
        <v>803</v>
      </c>
      <c r="G17" s="8" t="s">
        <v>1107</v>
      </c>
      <c r="H17" s="8"/>
      <c r="I17" s="8" t="s">
        <v>869</v>
      </c>
      <c r="J17" s="8" t="s">
        <v>1108</v>
      </c>
      <c r="K17" s="8" t="s">
        <v>807</v>
      </c>
      <c r="L17" s="8" t="s">
        <v>5</v>
      </c>
      <c r="M17" s="8"/>
    </row>
    <row r="18" customFormat="false" ht="74.6" hidden="false" customHeight="false" outlineLevel="0" collapsed="false">
      <c r="A18" s="8" t="s">
        <v>879</v>
      </c>
      <c r="B18" s="8" t="s">
        <v>1109</v>
      </c>
      <c r="C18" s="8" t="s">
        <v>1084</v>
      </c>
      <c r="D18" s="8" t="s">
        <v>877</v>
      </c>
      <c r="E18" s="8" t="s">
        <v>802</v>
      </c>
      <c r="F18" s="8" t="s">
        <v>803</v>
      </c>
      <c r="G18" s="8" t="s">
        <v>1110</v>
      </c>
      <c r="H18" s="8"/>
      <c r="I18" s="8" t="s">
        <v>875</v>
      </c>
      <c r="J18" s="8" t="s">
        <v>1111</v>
      </c>
      <c r="K18" s="8" t="s">
        <v>807</v>
      </c>
      <c r="L18" s="8" t="s">
        <v>5</v>
      </c>
      <c r="M18" s="8"/>
    </row>
    <row r="19" customFormat="false" ht="85.05" hidden="false" customHeight="false" outlineLevel="0" collapsed="false">
      <c r="A19" s="8" t="s">
        <v>885</v>
      </c>
      <c r="B19" s="8" t="s">
        <v>1112</v>
      </c>
      <c r="C19" s="8" t="s">
        <v>1084</v>
      </c>
      <c r="D19" s="8" t="s">
        <v>883</v>
      </c>
      <c r="E19" s="8" t="s">
        <v>802</v>
      </c>
      <c r="F19" s="8" t="s">
        <v>803</v>
      </c>
      <c r="G19" s="8" t="s">
        <v>1113</v>
      </c>
      <c r="H19" s="8"/>
      <c r="I19" s="8" t="s">
        <v>881</v>
      </c>
      <c r="J19" s="8" t="s">
        <v>1114</v>
      </c>
      <c r="K19" s="8" t="s">
        <v>807</v>
      </c>
      <c r="L19" s="8" t="s">
        <v>5</v>
      </c>
      <c r="M19" s="8"/>
    </row>
    <row r="20" customFormat="false" ht="64.15" hidden="false" customHeight="false" outlineLevel="0" collapsed="false">
      <c r="A20" s="8" t="s">
        <v>898</v>
      </c>
      <c r="B20" s="8" t="s">
        <v>1115</v>
      </c>
      <c r="C20" s="8" t="s">
        <v>1116</v>
      </c>
      <c r="D20" s="8" t="s">
        <v>896</v>
      </c>
      <c r="E20" s="8" t="s">
        <v>802</v>
      </c>
      <c r="F20" s="8" t="s">
        <v>803</v>
      </c>
      <c r="G20" s="8" t="s">
        <v>1117</v>
      </c>
      <c r="H20" s="8"/>
      <c r="I20" s="8" t="s">
        <v>894</v>
      </c>
      <c r="J20" s="8" t="s">
        <v>1118</v>
      </c>
      <c r="K20" s="8" t="s">
        <v>807</v>
      </c>
      <c r="L20" s="8" t="s">
        <v>5</v>
      </c>
      <c r="M20" s="8"/>
    </row>
    <row r="21" customFormat="false" ht="85.05" hidden="false" customHeight="false" outlineLevel="0" collapsed="false">
      <c r="A21" s="8" t="s">
        <v>904</v>
      </c>
      <c r="B21" s="8" t="s">
        <v>1119</v>
      </c>
      <c r="C21" s="8" t="s">
        <v>1116</v>
      </c>
      <c r="D21" s="8" t="s">
        <v>1120</v>
      </c>
      <c r="E21" s="8" t="s">
        <v>802</v>
      </c>
      <c r="F21" s="8" t="s">
        <v>803</v>
      </c>
      <c r="G21" s="8" t="s">
        <v>1121</v>
      </c>
      <c r="H21" s="8"/>
      <c r="I21" s="8" t="s">
        <v>900</v>
      </c>
      <c r="J21" s="8" t="s">
        <v>1122</v>
      </c>
      <c r="K21" s="8" t="s">
        <v>807</v>
      </c>
      <c r="L21" s="8" t="s">
        <v>5</v>
      </c>
      <c r="M21" s="8"/>
    </row>
    <row r="22" customFormat="false" ht="64.15" hidden="false" customHeight="false" outlineLevel="0" collapsed="false">
      <c r="A22" s="8" t="s">
        <v>910</v>
      </c>
      <c r="B22" s="8" t="s">
        <v>1123</v>
      </c>
      <c r="C22" s="8" t="s">
        <v>1116</v>
      </c>
      <c r="D22" s="8" t="s">
        <v>908</v>
      </c>
      <c r="E22" s="8" t="s">
        <v>802</v>
      </c>
      <c r="F22" s="8" t="s">
        <v>803</v>
      </c>
      <c r="G22" s="8" t="s">
        <v>1124</v>
      </c>
      <c r="H22" s="8"/>
      <c r="I22" s="8" t="s">
        <v>906</v>
      </c>
      <c r="J22" s="8" t="s">
        <v>1125</v>
      </c>
      <c r="K22" s="8" t="s">
        <v>807</v>
      </c>
      <c r="L22" s="8" t="s">
        <v>5</v>
      </c>
      <c r="M22" s="8"/>
    </row>
    <row r="23" customFormat="false" ht="64.15" hidden="false" customHeight="false" outlineLevel="0" collapsed="false">
      <c r="A23" s="8" t="s">
        <v>916</v>
      </c>
      <c r="B23" s="8" t="s">
        <v>1126</v>
      </c>
      <c r="C23" s="8" t="s">
        <v>1116</v>
      </c>
      <c r="D23" s="8" t="s">
        <v>914</v>
      </c>
      <c r="E23" s="8" t="s">
        <v>802</v>
      </c>
      <c r="F23" s="8" t="s">
        <v>803</v>
      </c>
      <c r="G23" s="8" t="s">
        <v>1127</v>
      </c>
      <c r="H23" s="8"/>
      <c r="I23" s="8" t="s">
        <v>912</v>
      </c>
      <c r="J23" s="8" t="s">
        <v>1128</v>
      </c>
      <c r="K23" s="8" t="s">
        <v>807</v>
      </c>
      <c r="L23" s="8" t="s">
        <v>5</v>
      </c>
      <c r="M23" s="8"/>
    </row>
    <row r="24" customFormat="false" ht="85.05" hidden="false" customHeight="false" outlineLevel="0" collapsed="false">
      <c r="A24" s="8" t="s">
        <v>1129</v>
      </c>
      <c r="B24" s="8" t="s">
        <v>1130</v>
      </c>
      <c r="C24" s="8" t="s">
        <v>1116</v>
      </c>
      <c r="D24" s="8" t="s">
        <v>1131</v>
      </c>
      <c r="E24" s="8" t="s">
        <v>802</v>
      </c>
      <c r="F24" s="8" t="s">
        <v>803</v>
      </c>
      <c r="G24" s="8" t="s">
        <v>1132</v>
      </c>
      <c r="H24" s="8"/>
      <c r="I24" s="8" t="s">
        <v>918</v>
      </c>
      <c r="J24" s="8" t="s">
        <v>1133</v>
      </c>
      <c r="K24" s="8" t="s">
        <v>807</v>
      </c>
      <c r="L24" s="8" t="s">
        <v>5</v>
      </c>
      <c r="M24" s="8"/>
    </row>
    <row r="25" customFormat="false" ht="85.05" hidden="false" customHeight="false" outlineLevel="0" collapsed="false">
      <c r="A25" s="8" t="s">
        <v>892</v>
      </c>
      <c r="B25" s="8" t="s">
        <v>1134</v>
      </c>
      <c r="C25" s="8" t="s">
        <v>1116</v>
      </c>
      <c r="D25" s="8" t="s">
        <v>890</v>
      </c>
      <c r="E25" s="8" t="s">
        <v>802</v>
      </c>
      <c r="F25" s="8" t="s">
        <v>803</v>
      </c>
      <c r="G25" s="8" t="s">
        <v>1135</v>
      </c>
      <c r="H25" s="8"/>
      <c r="I25" s="8" t="s">
        <v>887</v>
      </c>
      <c r="J25" s="8" t="s">
        <v>1136</v>
      </c>
      <c r="K25" s="8" t="s">
        <v>807</v>
      </c>
      <c r="L25" s="8" t="s">
        <v>5</v>
      </c>
      <c r="M25" s="8"/>
    </row>
    <row r="26" customFormat="false" ht="64.15" hidden="false" customHeight="false" outlineLevel="0" collapsed="false">
      <c r="A26" s="8" t="s">
        <v>1137</v>
      </c>
      <c r="B26" s="8" t="s">
        <v>1138</v>
      </c>
      <c r="C26" s="8" t="s">
        <v>1116</v>
      </c>
      <c r="D26" s="8" t="s">
        <v>920</v>
      </c>
      <c r="E26" s="8" t="s">
        <v>802</v>
      </c>
      <c r="F26" s="8" t="s">
        <v>803</v>
      </c>
      <c r="G26" s="8" t="s">
        <v>1139</v>
      </c>
      <c r="H26" s="8"/>
      <c r="I26" s="8" t="s">
        <v>918</v>
      </c>
      <c r="J26" s="8" t="s">
        <v>1140</v>
      </c>
      <c r="K26" s="8" t="s">
        <v>807</v>
      </c>
      <c r="L26" s="8" t="s">
        <v>5</v>
      </c>
      <c r="M26" s="8"/>
    </row>
    <row r="27" customFormat="false" ht="137.3" hidden="false" customHeight="false" outlineLevel="0" collapsed="false">
      <c r="A27" s="8" t="s">
        <v>928</v>
      </c>
      <c r="B27" s="8" t="s">
        <v>1141</v>
      </c>
      <c r="C27" s="8" t="s">
        <v>1116</v>
      </c>
      <c r="D27" s="8" t="s">
        <v>926</v>
      </c>
      <c r="E27" s="8" t="s">
        <v>802</v>
      </c>
      <c r="F27" s="8" t="s">
        <v>803</v>
      </c>
      <c r="G27" s="8" t="s">
        <v>1142</v>
      </c>
      <c r="H27" s="8"/>
      <c r="I27" s="8" t="s">
        <v>924</v>
      </c>
      <c r="J27" s="8" t="s">
        <v>1143</v>
      </c>
      <c r="K27" s="8" t="s">
        <v>807</v>
      </c>
      <c r="L27" s="8" t="s">
        <v>5</v>
      </c>
      <c r="M27" s="8"/>
    </row>
    <row r="28" customFormat="false" ht="85.05" hidden="false" customHeight="false" outlineLevel="0" collapsed="false">
      <c r="A28" s="8" t="s">
        <v>935</v>
      </c>
      <c r="B28" s="8" t="s">
        <v>1144</v>
      </c>
      <c r="C28" s="8" t="s">
        <v>1145</v>
      </c>
      <c r="D28" s="8" t="s">
        <v>1146</v>
      </c>
      <c r="E28" s="8" t="s">
        <v>802</v>
      </c>
      <c r="F28" s="8" t="s">
        <v>803</v>
      </c>
      <c r="G28" s="8" t="s">
        <v>1147</v>
      </c>
      <c r="H28" s="8"/>
      <c r="I28" s="8" t="s">
        <v>930</v>
      </c>
      <c r="J28" s="8" t="s">
        <v>1148</v>
      </c>
      <c r="K28" s="8" t="s">
        <v>807</v>
      </c>
      <c r="L28" s="8" t="s">
        <v>5</v>
      </c>
      <c r="M28" s="8"/>
    </row>
    <row r="29" customFormat="false" ht="95.5" hidden="false" customHeight="false" outlineLevel="0" collapsed="false">
      <c r="A29" s="8" t="s">
        <v>941</v>
      </c>
      <c r="B29" s="8" t="s">
        <v>1149</v>
      </c>
      <c r="C29" s="8" t="s">
        <v>1145</v>
      </c>
      <c r="D29" s="8" t="s">
        <v>939</v>
      </c>
      <c r="E29" s="8" t="s">
        <v>802</v>
      </c>
      <c r="F29" s="8" t="s">
        <v>803</v>
      </c>
      <c r="G29" s="8" t="s">
        <v>1150</v>
      </c>
      <c r="H29" s="8"/>
      <c r="I29" s="8" t="s">
        <v>937</v>
      </c>
      <c r="J29" s="8" t="s">
        <v>1151</v>
      </c>
      <c r="K29" s="8" t="s">
        <v>807</v>
      </c>
      <c r="L29" s="8" t="s">
        <v>5</v>
      </c>
      <c r="M29" s="8"/>
    </row>
    <row r="30" customFormat="false" ht="105.95" hidden="false" customHeight="false" outlineLevel="0" collapsed="false">
      <c r="A30" s="8" t="s">
        <v>947</v>
      </c>
      <c r="B30" s="8" t="s">
        <v>1152</v>
      </c>
      <c r="C30" s="8" t="s">
        <v>1145</v>
      </c>
      <c r="D30" s="8" t="s">
        <v>945</v>
      </c>
      <c r="E30" s="8" t="s">
        <v>802</v>
      </c>
      <c r="F30" s="8" t="s">
        <v>803</v>
      </c>
      <c r="G30" s="8" t="s">
        <v>1153</v>
      </c>
      <c r="H30" s="8"/>
      <c r="I30" s="8" t="s">
        <v>943</v>
      </c>
      <c r="J30" s="8" t="s">
        <v>1154</v>
      </c>
      <c r="K30" s="8" t="s">
        <v>807</v>
      </c>
      <c r="L30" s="8" t="s">
        <v>5</v>
      </c>
      <c r="M30" s="8"/>
    </row>
    <row r="31" customFormat="false" ht="105.95" hidden="false" customHeight="false" outlineLevel="0" collapsed="false">
      <c r="A31" s="8" t="s">
        <v>953</v>
      </c>
      <c r="B31" s="8" t="s">
        <v>1155</v>
      </c>
      <c r="C31" s="8" t="s">
        <v>1145</v>
      </c>
      <c r="D31" s="8" t="s">
        <v>1156</v>
      </c>
      <c r="E31" s="8" t="s">
        <v>802</v>
      </c>
      <c r="F31" s="8" t="s">
        <v>803</v>
      </c>
      <c r="G31" s="8" t="s">
        <v>1157</v>
      </c>
      <c r="H31" s="8"/>
      <c r="I31" s="8" t="s">
        <v>949</v>
      </c>
      <c r="J31" s="8" t="s">
        <v>1158</v>
      </c>
      <c r="K31" s="8" t="s">
        <v>807</v>
      </c>
      <c r="L31" s="8" t="s">
        <v>5</v>
      </c>
      <c r="M31" s="8"/>
    </row>
  </sheetData>
  <autoFilter ref="A1:M31"/>
  <dataValidations count="1">
    <dataValidation allowBlank="true" errorStyle="stop" operator="between" showDropDown="false" showErrorMessage="false" showInputMessage="false" sqref="L2:L31" type="list">
      <formula1>"Not started,Designed,Implemented,Passed,Failed,Blocked"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50"/>
    <col collapsed="false" customWidth="true" hidden="false" outlineLevel="0" max="4" min="4" style="0" width="28"/>
    <col collapsed="false" customWidth="true" hidden="false" outlineLevel="0" max="5" min="5" style="0" width="10"/>
    <col collapsed="false" customWidth="true" hidden="false" outlineLevel="0" max="6" min="6" style="0" width="22"/>
    <col collapsed="false" customWidth="true" hidden="false" outlineLevel="0" max="7" min="7" style="0" width="18"/>
    <col collapsed="false" customWidth="true" hidden="false" outlineLevel="0" max="8" min="8" style="0" width="11"/>
    <col collapsed="false" customWidth="true" hidden="false" outlineLevel="0" max="9" min="9" style="0" width="13"/>
    <col collapsed="false" customWidth="true" hidden="false" outlineLevel="0" max="10" min="10" style="0" width="40"/>
  </cols>
  <sheetData>
    <row r="1" customFormat="false" ht="31.5" hidden="false" customHeight="true" outlineLevel="0" collapsed="false">
      <c r="A1" s="7" t="s">
        <v>1159</v>
      </c>
      <c r="B1" s="7" t="s">
        <v>27</v>
      </c>
      <c r="C1" s="7" t="s">
        <v>1160</v>
      </c>
      <c r="D1" s="7" t="s">
        <v>1161</v>
      </c>
      <c r="E1" s="7" t="s">
        <v>1162</v>
      </c>
      <c r="F1" s="7" t="s">
        <v>19</v>
      </c>
      <c r="G1" s="7" t="s">
        <v>32</v>
      </c>
      <c r="H1" s="7" t="s">
        <v>33</v>
      </c>
      <c r="I1" s="7" t="s">
        <v>34</v>
      </c>
      <c r="J1" s="7" t="s">
        <v>1163</v>
      </c>
    </row>
  </sheetData>
  <autoFilter ref="A1:J1"/>
  <dataValidations count="1">
    <dataValidation allowBlank="true" errorStyle="stop" operator="between" showDropDown="false" showErrorMessage="false" showInputMessage="false" sqref="I2:I500" type="list">
      <formula1>"Not started,Designed,Implemented,Passed,Failed,Blocked"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2026-10-15T12:00:10Z</dcterms:created>
  <dc:creator>openpyxl</dc:creator>
  <dc:description/>
  <dc:language>en-US</dc:language>
  <cp:lastModifiedBy/>
  <dcterms:modified xsi:type="dcterms:W3CDTF">2026-10-15T12:00:10Z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